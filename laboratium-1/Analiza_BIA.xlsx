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riusz\private\POLLUB\cyber\"/>
    </mc:Choice>
  </mc:AlternateContent>
  <xr:revisionPtr revIDLastSave="0" documentId="13_ncr:1_{B927C6F1-3B70-4FB1-8A3F-8888A9BEB8D1}" xr6:coauthVersionLast="47" xr6:coauthVersionMax="47" xr10:uidLastSave="{00000000-0000-0000-0000-000000000000}"/>
  <bookViews>
    <workbookView xWindow="-103" yWindow="-103" windowWidth="22149" windowHeight="13200" xr2:uid="{CAFDC1D1-A7AB-4FB1-8271-DE925607D135}"/>
  </bookViews>
  <sheets>
    <sheet name="Interesariusze " sheetId="1" r:id="rId1"/>
    <sheet name="PESTLE" sheetId="2" r:id="rId2"/>
    <sheet name="Prawo " sheetId="4" r:id="rId3"/>
    <sheet name="Procesy " sheetId="3" r:id="rId4"/>
    <sheet name="Ocena wpływu BCMS " sheetId="6" r:id="rId5"/>
    <sheet name="Aktywa " sheetId="7" r:id="rId6"/>
    <sheet name="Zasoby " sheetId="8" r:id="rId7"/>
    <sheet name="Słowniki " sheetId="5" r:id="rId8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6" i="6" l="1"/>
  <c r="H56" i="6"/>
  <c r="G56" i="6"/>
  <c r="F56" i="6"/>
  <c r="E56" i="6"/>
  <c r="D56" i="6"/>
  <c r="I48" i="6"/>
  <c r="H48" i="6"/>
  <c r="G48" i="6"/>
  <c r="F48" i="6"/>
  <c r="E48" i="6"/>
  <c r="D48" i="6"/>
  <c r="I40" i="6"/>
  <c r="H40" i="6"/>
  <c r="G40" i="6"/>
  <c r="F40" i="6"/>
  <c r="E40" i="6"/>
  <c r="D40" i="6"/>
  <c r="I32" i="6"/>
  <c r="H32" i="6"/>
  <c r="G32" i="6"/>
  <c r="F32" i="6"/>
  <c r="E32" i="6"/>
  <c r="D32" i="6"/>
  <c r="I24" i="6"/>
  <c r="H24" i="6"/>
  <c r="G24" i="6"/>
  <c r="F24" i="6"/>
  <c r="E24" i="6"/>
  <c r="D24" i="6"/>
  <c r="I16" i="6"/>
  <c r="H16" i="6"/>
  <c r="G16" i="6"/>
  <c r="F16" i="6"/>
  <c r="E16" i="6"/>
  <c r="D16" i="6"/>
</calcChain>
</file>

<file path=xl/sharedStrings.xml><?xml version="1.0" encoding="utf-8"?>
<sst xmlns="http://schemas.openxmlformats.org/spreadsheetml/2006/main" count="353" uniqueCount="226">
  <si>
    <t>Lp.</t>
  </si>
  <si>
    <t>Kategoria</t>
  </si>
  <si>
    <t>Interesariusz</t>
  </si>
  <si>
    <t>Wymagania / oczekiwania</t>
  </si>
  <si>
    <t>Źródło</t>
  </si>
  <si>
    <t>Uwagi / ustalenia</t>
  </si>
  <si>
    <t>Wewnętrzny</t>
  </si>
  <si>
    <t>• Realizacja ustawowego zadania prowadzenia rejestru (§ 2 ust. 1)
• Zgodność z UKSC, KRI, RODO, ustawą o SIOZ i rozporządzeniem w sprawie KRN
• Ciągłość przyjmowania danych od usługodawców
• Wiarygodność statystyk krajowych publikowanych przez NIO-PIB
• Raportowanie o stanie bezpieczeństwa i ciągłości działania rejestru
• Ochrona reputacji Instytutu</t>
  </si>
  <si>
    <t>Zewnętrzny</t>
  </si>
  <si>
    <t>CeZ (Centrum e-Zdrowia)</t>
  </si>
  <si>
    <t>• Zgodność z zasadami interoperacyjności i identyfikatorami (art. 17c ustawy o SIOZ)
• Ewentualna integracja z systemami centralnymi (P1, RPWDL, CWPM)
• Współpraca w obsłudze incydentów w sektorze ochrony zdrowia</t>
  </si>
  <si>
    <t xml:space="preserve">Wersja </t>
  </si>
  <si>
    <t>0.1</t>
  </si>
  <si>
    <t xml:space="preserve">Status </t>
  </si>
  <si>
    <t xml:space="preserve">Robocza </t>
  </si>
  <si>
    <t xml:space="preserve">Data powstania </t>
  </si>
  <si>
    <t xml:space="preserve">Data ostatniej modyfikacji </t>
  </si>
  <si>
    <t>Czynnik</t>
  </si>
  <si>
    <t>Powiązani interesariusze</t>
  </si>
  <si>
    <t>Wpływ na SZBI / SZCD</t>
  </si>
  <si>
    <t>Krajowa polityka informatyzacji ochrony zdrowia (systemy centralne, interoperacyjność)</t>
  </si>
  <si>
    <t>Minister Zdrowia, CeZ</t>
  </si>
  <si>
    <t>Możliwe zmiany kierunku integracji (np. pozyskiwanie danych z systemów centralnych zamiast bezpośrednio od usługodawców). Konieczność elastycznej architektury i zarządzania zmianą.</t>
  </si>
  <si>
    <t>Krajowa polityka cyberbezpieczeństwa i wdrożenie NIS2</t>
  </si>
  <si>
    <t>Minister Cyfryzacji, CSIRT</t>
  </si>
  <si>
    <t>Podwyższone wymagania wobec podmiotów sektora ochrony zdrowia, w tym odpowiedzialność kierownictwa. Konieczność formalnego objęcia KRN zakresem SZBI NIO-PIB.</t>
  </si>
  <si>
    <t>Koszty utrzymania i rozwoju systemu oraz zależność od dostawcy (vendor lock-in)</t>
  </si>
  <si>
    <t>Ryzyko trudności w zmianie wykonawcy i rosnących kosztów. Konieczność zapewnienia praw do kodu, dokumentacji i planu wyjścia z umowy.</t>
  </si>
  <si>
    <t>Pacjenci, organizacje pacjenckie, media</t>
  </si>
  <si>
    <t>Naruszenie poufności ma poważne skutki dla osób (stygmatyzacja, zatrudnienie, ubezpieczenia). Uzasadnia wysoki poziom ochrony poufności i ścisłe zarządzanie dostępem.</t>
  </si>
  <si>
    <t>Duża i rozproszona populacja użytkowników zwiększa ryzyko phishingu i przejęcia kont. Konieczność silnego uwierzytelniania i edukacji użytkowników.</t>
  </si>
  <si>
    <t>Ewolucja zagrożeń w sektorze ochrony zdrowia (ransomware, wycieki danych, ataki na łańcuch dostaw)</t>
  </si>
  <si>
    <t>CSIRT, Zespół ds. cyberbezpieczeństwa</t>
  </si>
  <si>
    <t>Konieczność monitorowania zagrożeń, zarządzania podatnościami, kopii zapasowych odpornych na ransomware (offline / niemodyfikowalne) i testów odtworzenia.</t>
  </si>
  <si>
    <t>Minister Zdrowia, CeZ, KRN</t>
  </si>
  <si>
    <t>Zagrożenia środowiskowe dla centrum danych (upały, burze, powodzie, awarie zasilania)</t>
  </si>
  <si>
    <t>Konieczność redundancji zasilania i chłodzenia, lokalizacji zapasowej oraz testów przełączenia.</t>
  </si>
  <si>
    <t>P - Polityczne</t>
  </si>
  <si>
    <t>E - Ekonomiczne</t>
  </si>
  <si>
    <t>S - Społeczne</t>
  </si>
  <si>
    <t>T - Technologiczne</t>
  </si>
  <si>
    <t>L - Prawne</t>
  </si>
  <si>
    <t>Ustawa o systemie informacji w ochronie zdrowia (art. 19–20 - rejestry medyczne, art. 17c - identyfikatory)</t>
  </si>
  <si>
    <t>E - Środowiskowe</t>
  </si>
  <si>
    <t>Świadomość bezpieczeństwa wśród użytkowników rozproszonych (WRN, tysiące użytkowników usługodawców)</t>
  </si>
  <si>
    <t>WRN, lekarze, szpitale</t>
  </si>
  <si>
    <t>Dział informatyki</t>
  </si>
  <si>
    <t>Akt prawny</t>
  </si>
  <si>
    <t>Wymagania SZBI (bezpieczeństwo informacji)</t>
  </si>
  <si>
    <t>Wymagania ciągłości działania</t>
  </si>
  <si>
    <t>Ustawa z dnia 28 kwietnia 2011 r. o systemie informacji w ochronie zdrowia (Dz. U. 2023 poz. 2465, z późn. zm.)</t>
  </si>
  <si>
    <t>Ustawa o krajowym systemie cyberbezpieczeństwa (UKSC, z nowelizacją wdrażającą NIS2)</t>
  </si>
  <si>
    <t>• Zapewnienie ciągłości działania i zdolności odtworzenia usług po incydencie
• Bezpieczeństwo łańcucha dostaw</t>
  </si>
  <si>
    <t>Rozporządzenie RM w sprawie Krajowych Ram Interoperacyjności (Dz. U. 2024 poz. 773)</t>
  </si>
  <si>
    <t>• Procedury reagowania na incydenty naruszające dostępność
• Kopie zapasowe i odtwarzanie</t>
  </si>
  <si>
    <t>• SZBI, szacowanie ryzyka, zarządzanie incydentami i podatnościami
• Zgłaszanie incydentów do CSIRT w terminach ustawowych
• Audyt bezpieczeństwa systemu informacyjnego
• Odpowiedzialność kierownictwa</t>
  </si>
  <si>
    <t>• SZBI zgodny z PN-ISO/IEC 27001 
• Zarządzanie uprawnieniami, rejestrowanie zdarzeń, aktualizacje, szkolenia
• Interoperacyjność i formaty wymiany danych</t>
  </si>
  <si>
    <t>Proces</t>
  </si>
  <si>
    <t>Zakres procesu</t>
  </si>
  <si>
    <t>Rezultat / odbiorca</t>
  </si>
  <si>
    <t>Skutki przerwania</t>
  </si>
  <si>
    <t>Właściciel procesu
(proponowany)</t>
  </si>
  <si>
    <t>MTPD</t>
  </si>
  <si>
    <t>RTO</t>
  </si>
  <si>
    <t>RPO</t>
  </si>
  <si>
    <t>Średni</t>
  </si>
  <si>
    <t>Wysoki</t>
  </si>
  <si>
    <t xml:space="preserve">Krytyczność procesu </t>
  </si>
  <si>
    <t>Finanse</t>
  </si>
  <si>
    <t>1 – Niski</t>
  </si>
  <si>
    <t>2 – Średni</t>
  </si>
  <si>
    <t>3 – Wysoki</t>
  </si>
  <si>
    <t>4 – Krytyczny</t>
  </si>
  <si>
    <t>Bezpieczeństwo ludzi</t>
  </si>
  <si>
    <t>brak zagrożenia</t>
  </si>
  <si>
    <t>niewielkie, odwracalne</t>
  </si>
  <si>
    <t>poważne zagrożenie zdrowia</t>
  </si>
  <si>
    <t>zagrożenie życia</t>
  </si>
  <si>
    <t>Wymagania prawne</t>
  </si>
  <si>
    <t>brak naruszenia</t>
  </si>
  <si>
    <t>drobne uchybienie</t>
  </si>
  <si>
    <t>naruszenie, zgłoszenie do organu</t>
  </si>
  <si>
    <t>sankcje, utrata uprawnień</t>
  </si>
  <si>
    <t>Wymagania umowne</t>
  </si>
  <si>
    <t>w granicach SLA</t>
  </si>
  <si>
    <t>przekroczenie SLA</t>
  </si>
  <si>
    <t>kary umowne</t>
  </si>
  <si>
    <t>zerwanie umowy</t>
  </si>
  <si>
    <t>Zaufanie</t>
  </si>
  <si>
    <t>brak rozgłosu</t>
  </si>
  <si>
    <t>skargi klientów</t>
  </si>
  <si>
    <t>media lokalne</t>
  </si>
  <si>
    <t>media ogólnokrajowe, odejście klientów</t>
  </si>
  <si>
    <t>&lt; 0,1% przychodu</t>
  </si>
  <si>
    <t>0,1–1%</t>
  </si>
  <si>
    <t>1–5%</t>
  </si>
  <si>
    <t>&gt; 5% przychodu</t>
  </si>
  <si>
    <t>Usługa / jakość</t>
  </si>
  <si>
    <t>niezauważalny spadek</t>
  </si>
  <si>
    <t>ograniczenie funkcji</t>
  </si>
  <si>
    <t>poważne ograniczenie</t>
  </si>
  <si>
    <t>brak świadczenia usługi</t>
  </si>
  <si>
    <t>Kategoria wpływu</t>
  </si>
  <si>
    <t>do 4 h</t>
  </si>
  <si>
    <t>do 24 h</t>
  </si>
  <si>
    <t>do 72 h</t>
  </si>
  <si>
    <t>do 7 dni</t>
  </si>
  <si>
    <t>do 14 dni</t>
  </si>
  <si>
    <t>do 30 dni</t>
  </si>
  <si>
    <t>Uzasadnienie oceny</t>
  </si>
  <si>
    <t>czas przerwy [h] →</t>
  </si>
  <si>
    <t>Wpływ maksymalny</t>
  </si>
  <si>
    <t xml:space="preserve">Powiązane zasoby </t>
  </si>
  <si>
    <t xml:space="preserve">Kategorie wpływu </t>
  </si>
  <si>
    <t>ID</t>
  </si>
  <si>
    <t>Aktywo informacyjne</t>
  </si>
  <si>
    <t>Opis / zawartość</t>
  </si>
  <si>
    <t>Typ aktywa</t>
  </si>
  <si>
    <t>Klasyfikacja</t>
  </si>
  <si>
    <t>Uzasadnienie klasyfikacji</t>
  </si>
  <si>
    <t>P</t>
  </si>
  <si>
    <t>I</t>
  </si>
  <si>
    <t>D</t>
  </si>
  <si>
    <t>Właściciel aktywa
(proponowany)</t>
  </si>
  <si>
    <t>Lokalizacja / nośnik</t>
  </si>
  <si>
    <t>Zasoby wspierające (ID)</t>
  </si>
  <si>
    <t>Procesy BIA</t>
  </si>
  <si>
    <t>Podstawa prawna przetwarzania</t>
  </si>
  <si>
    <t>A01</t>
  </si>
  <si>
    <t>Baza danych</t>
  </si>
  <si>
    <t>Chronione</t>
  </si>
  <si>
    <t>Wysoka</t>
  </si>
  <si>
    <t>A02</t>
  </si>
  <si>
    <t>Średnia</t>
  </si>
  <si>
    <t>A03</t>
  </si>
  <si>
    <t>A04</t>
  </si>
  <si>
    <t>Publiczne</t>
  </si>
  <si>
    <t>Niska</t>
  </si>
  <si>
    <t>A05</t>
  </si>
  <si>
    <t>Do użytku wewnętrznego</t>
  </si>
  <si>
    <t>A06</t>
  </si>
  <si>
    <t>A07</t>
  </si>
  <si>
    <t>A08</t>
  </si>
  <si>
    <t>Z45</t>
  </si>
  <si>
    <t>A09</t>
  </si>
  <si>
    <t>A10</t>
  </si>
  <si>
    <t>A11</t>
  </si>
  <si>
    <t>A12</t>
  </si>
  <si>
    <t>Kategoria zasobu</t>
  </si>
  <si>
    <t>Zasób</t>
  </si>
  <si>
    <t>Model / wersja</t>
  </si>
  <si>
    <t>Nr seryjny</t>
  </si>
  <si>
    <t>Nr inwentarzowy</t>
  </si>
  <si>
    <t>Lokalizacja</t>
  </si>
  <si>
    <t>Status</t>
  </si>
  <si>
    <t>Wspierane aktywa (ID)</t>
  </si>
  <si>
    <t>Klasyfikacja dziedziczona</t>
  </si>
  <si>
    <t>Z01</t>
  </si>
  <si>
    <t>Z02</t>
  </si>
  <si>
    <t>Z03</t>
  </si>
  <si>
    <t>Z04</t>
  </si>
  <si>
    <t>Z05</t>
  </si>
  <si>
    <t>Z06</t>
  </si>
  <si>
    <t>Z07</t>
  </si>
  <si>
    <t>Z08</t>
  </si>
  <si>
    <t>Z09</t>
  </si>
  <si>
    <t>Z10</t>
  </si>
  <si>
    <t>Z11</t>
  </si>
  <si>
    <t>Z12</t>
  </si>
  <si>
    <t>Z13</t>
  </si>
  <si>
    <t>Z14</t>
  </si>
  <si>
    <t>Z15</t>
  </si>
  <si>
    <t>Z16</t>
  </si>
  <si>
    <t>Z17</t>
  </si>
  <si>
    <t>Z18</t>
  </si>
  <si>
    <t>Z19</t>
  </si>
  <si>
    <t>Z20</t>
  </si>
  <si>
    <t>Z21</t>
  </si>
  <si>
    <t>Z22</t>
  </si>
  <si>
    <t>Z23</t>
  </si>
  <si>
    <t>Z24</t>
  </si>
  <si>
    <t>Z25</t>
  </si>
  <si>
    <t>Z26</t>
  </si>
  <si>
    <t>Z27</t>
  </si>
  <si>
    <t>Z28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</si>
  <si>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</si>
  <si>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</si>
  <si>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</si>
  <si>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</si>
  <si>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</si>
  <si>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</si>
  <si>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</si>
  <si>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</si>
  <si>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</si>
  <si>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</si>
  <si>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</si>
  <si>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</si>
  <si>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</si>
  <si>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</si>
  <si>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</si>
  <si>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</si>
  <si>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</si>
  <si>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</si>
  <si>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</si>
  <si>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</si>
  <si>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</si>
  <si>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</si>
  <si>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</si>
  <si>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</si>
  <si>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</si>
  <si>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</si>
  <si>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</si>
  <si>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 xml:space="preserve">Dyrektor </t>
  </si>
  <si>
    <t xml:space="preserve">Rejestr interesariuszy </t>
  </si>
  <si>
    <t xml:space="preserve">Analiza PESTLE </t>
  </si>
  <si>
    <t>Wykonawca systemu , Dział informatyki, Dział zamówień publicznych</t>
  </si>
  <si>
    <t xml:space="preserve">Wysoka wrażliwość danych o historii choroby </t>
  </si>
  <si>
    <t xml:space="preserve">Wymagania dotyczące prowadzenia EDM , zabezpieczenia danych i rozliczalności. </t>
  </si>
  <si>
    <t>• Zasady prowadzenia EDM 
• Identyfikatory usługodawcy, miejsca udzielania świadczeń i pracownika medycznego 
• Zabezpieczenie danych przed nieuprawnionym dostępem</t>
  </si>
  <si>
    <t xml:space="preserve">• Udostępnianie EDM innym podmiotom z wykorzystaniem systemu P1 </t>
  </si>
  <si>
    <t xml:space="preserve">System HIS </t>
  </si>
  <si>
    <t xml:space="preserve">Rejestr aktywów </t>
  </si>
  <si>
    <t xml:space="preserve">Rejestr zasobów </t>
  </si>
  <si>
    <t>Kluczowe procesy BIA</t>
  </si>
  <si>
    <t xml:space="preserve">Wymagania prawne - SZBI i ciągłość działania </t>
  </si>
  <si>
    <t xml:space="preserve">Ocena wpływu przerwania procesów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</si>
</sst>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TPD = &quot;0&quot; h&quot;"/>
  </numFmts>
  <fonts count="26" x14ac:knownFonts="1">
    <font>
      <sz val="11"/>
      <color theme="1"/>
      <name val="Aptos Narrow"/>
      <family val="2"/>
      <charset val="238"/>
      <scheme val="minor"/>
    </font>
    <font>
      <b/>
      <sz val="14"/>
      <name val="Calibri"/>
    </font>
    <font>
      <b/>
      <sz val="10"/>
      <color rgb="FFFFFFFF"/>
      <name val="Calibri"/>
    </font>
    <font>
      <sz val="10"/>
      <color theme="1"/>
      <name val="Calibri"/>
      <family val="2"/>
      <charset val="238"/>
    </font>
    <font>
      <b/>
      <sz val="9"/>
      <color theme="1"/>
      <name val="Calibri"/>
      <family val="2"/>
      <charset val="238"/>
    </font>
    <font>
      <b/>
      <sz val="11"/>
      <color theme="0"/>
      <name val="Aptos Narrow"/>
      <family val="2"/>
      <scheme val="minor"/>
    </font>
    <font>
      <b/>
      <sz val="10"/>
      <color rgb="FF00B050"/>
      <name val="Calibri"/>
      <family val="2"/>
      <charset val="238"/>
    </font>
    <font>
      <b/>
      <sz val="10"/>
      <color rgb="FF0070C0"/>
      <name val="Calibri"/>
      <family val="2"/>
      <charset val="238"/>
    </font>
    <font>
      <b/>
      <sz val="14"/>
      <name val="Calibri"/>
      <family val="2"/>
      <charset val="238"/>
    </font>
    <font>
      <b/>
      <sz val="10"/>
      <color rgb="FFFFFFFF"/>
      <name val="Calibri"/>
      <family val="2"/>
      <charset val="238"/>
    </font>
    <font>
      <sz val="10"/>
      <name val="Calibri"/>
      <family val="2"/>
      <charset val="238"/>
    </font>
    <font>
      <b/>
      <sz val="10"/>
      <color rgb="FFC00000"/>
      <name val="Calibri"/>
      <family val="2"/>
      <charset val="238"/>
    </font>
    <font>
      <b/>
      <sz val="10"/>
      <color rgb="FFC65911"/>
      <name val="Calibri"/>
      <family val="2"/>
      <charset val="238"/>
    </font>
    <font>
      <b/>
      <sz val="10"/>
      <color rgb="FF7030A0"/>
      <name val="Calibri"/>
      <family val="2"/>
      <charset val="238"/>
    </font>
    <font>
      <b/>
      <sz val="10"/>
      <color rgb="FF375623"/>
      <name val="Calibri"/>
      <family val="2"/>
      <charset val="238"/>
    </font>
    <font>
      <b/>
      <sz val="10"/>
      <color theme="0"/>
      <name val="Calibri"/>
      <family val="2"/>
      <charset val="238"/>
    </font>
    <font>
      <b/>
      <sz val="10"/>
      <name val="Calibri"/>
      <family val="2"/>
      <charset val="238"/>
    </font>
    <font>
      <sz val="11"/>
      <color theme="1"/>
      <name val="Calibri"/>
      <family val="2"/>
      <charset val="1"/>
    </font>
    <font>
      <b/>
      <sz val="9"/>
      <color rgb="FF00B050"/>
      <name val="Calibri"/>
      <family val="2"/>
      <charset val="238"/>
    </font>
    <font>
      <i/>
      <sz val="9"/>
      <name val="Calibri"/>
      <family val="2"/>
      <charset val="238"/>
    </font>
    <font>
      <b/>
      <sz val="10"/>
      <color rgb="FF1A1A1A"/>
      <name val="Calibri"/>
      <family val="2"/>
      <charset val="238"/>
    </font>
    <font>
      <sz val="10"/>
      <color theme="1"/>
      <name val="Aptos Narrow"/>
      <family val="2"/>
      <charset val="238"/>
      <scheme val="minor"/>
    </font>
    <font>
      <b/>
      <sz val="10"/>
      <color rgb="FF2E2E2E"/>
      <name val="Calibri"/>
      <family val="2"/>
      <charset val="238"/>
    </font>
    <font>
      <sz val="10"/>
      <color rgb="FF1A1A1A"/>
      <name val="Calibri"/>
      <family val="2"/>
      <charset val="238"/>
    </font>
    <font>
      <sz val="8"/>
      <name val="Aptos Narrow"/>
      <family val="2"/>
      <charset val="238"/>
      <scheme val="minor"/>
    </font>
    <font>
      <i/>
      <sz val="10"/>
      <color rgb="FFC65911"/>
      <name val="Calibri"/>
      <family val="2"/>
      <charset val="238"/>
    </font>
  </fonts>
  <fills count="1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theme="1" tint="0.249977111117893"/>
        <bgColor rgb="FF000080"/>
      </patternFill>
    </fill>
    <fill>
      <patternFill patternType="solid">
        <fgColor rgb="FF2E2E2E"/>
        <bgColor indexed="64"/>
      </patternFill>
    </fill>
    <fill>
      <patternFill patternType="solid">
        <fgColor rgb="FF3C8D50"/>
        <bgColor indexed="64"/>
      </patternFill>
    </fill>
    <fill>
      <patternFill patternType="solid">
        <fgColor rgb="FFF0B429"/>
        <bgColor indexed="64"/>
      </patternFill>
    </fill>
    <fill>
      <patternFill patternType="solid">
        <fgColor rgb="FFE07B24"/>
        <bgColor indexed="64"/>
      </patternFill>
    </fill>
    <fill>
      <patternFill patternType="solid">
        <fgColor rgb="FFBB171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rgb="FFF2F2F2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0" fontId="17" fillId="0" borderId="0"/>
  </cellStyleXfs>
  <cellXfs count="71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14" fontId="0" fillId="0" borderId="6" xfId="0" applyNumberFormat="1" applyBorder="1"/>
    <xf numFmtId="14" fontId="0" fillId="0" borderId="8" xfId="0" applyNumberFormat="1" applyBorder="1"/>
    <xf numFmtId="0" fontId="5" fillId="2" borderId="3" xfId="0" applyFont="1" applyFill="1" applyBorder="1"/>
    <xf numFmtId="0" fontId="5" fillId="2" borderId="5" xfId="0" applyFont="1" applyFill="1" applyBorder="1"/>
    <xf numFmtId="0" fontId="5" fillId="2" borderId="7" xfId="0" applyFont="1" applyFill="1" applyBorder="1"/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3" fillId="0" borderId="2" xfId="0" applyFont="1" applyBorder="1" applyAlignment="1">
      <alignment vertical="top" wrapText="1"/>
    </xf>
    <xf numFmtId="0" fontId="14" fillId="0" borderId="2" xfId="0" applyFont="1" applyBorder="1" applyAlignment="1">
      <alignment vertical="top" wrapText="1"/>
    </xf>
    <xf numFmtId="0" fontId="15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vertical="top" wrapText="1"/>
    </xf>
    <xf numFmtId="0" fontId="15" fillId="2" borderId="1" xfId="0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top" wrapText="1"/>
    </xf>
    <xf numFmtId="0" fontId="16" fillId="0" borderId="2" xfId="1" applyFont="1" applyBorder="1" applyAlignment="1">
      <alignment vertical="top" wrapText="1"/>
    </xf>
    <xf numFmtId="0" fontId="10" fillId="0" borderId="2" xfId="1" applyFont="1" applyBorder="1" applyAlignment="1">
      <alignment vertical="top" wrapText="1"/>
    </xf>
    <xf numFmtId="0" fontId="9" fillId="5" borderId="9" xfId="0" applyFont="1" applyFill="1" applyBorder="1" applyAlignment="1">
      <alignment horizontal="left" vertical="center" wrapText="1" readingOrder="1"/>
    </xf>
    <xf numFmtId="0" fontId="9" fillId="6" borderId="9" xfId="0" applyFont="1" applyFill="1" applyBorder="1" applyAlignment="1">
      <alignment horizontal="center" vertical="center" wrapText="1" readingOrder="1"/>
    </xf>
    <xf numFmtId="0" fontId="20" fillId="7" borderId="9" xfId="0" applyFont="1" applyFill="1" applyBorder="1" applyAlignment="1">
      <alignment horizontal="center" vertical="center" wrapText="1" readingOrder="1"/>
    </xf>
    <xf numFmtId="0" fontId="9" fillId="8" borderId="9" xfId="0" applyFont="1" applyFill="1" applyBorder="1" applyAlignment="1">
      <alignment horizontal="center" vertical="center" wrapText="1" readingOrder="1"/>
    </xf>
    <xf numFmtId="0" fontId="9" fillId="9" borderId="9" xfId="0" applyFont="1" applyFill="1" applyBorder="1" applyAlignment="1">
      <alignment horizontal="center" vertical="center" wrapText="1" readingOrder="1"/>
    </xf>
    <xf numFmtId="0" fontId="21" fillId="0" borderId="0" xfId="0" applyFont="1"/>
    <xf numFmtId="0" fontId="22" fillId="10" borderId="9" xfId="0" applyFont="1" applyFill="1" applyBorder="1" applyAlignment="1">
      <alignment horizontal="left" vertical="center" wrapText="1" readingOrder="1"/>
    </xf>
    <xf numFmtId="0" fontId="23" fillId="10" borderId="9" xfId="0" applyFont="1" applyFill="1" applyBorder="1" applyAlignment="1">
      <alignment horizontal="center" vertical="center" wrapText="1" readingOrder="1"/>
    </xf>
    <xf numFmtId="0" fontId="22" fillId="0" borderId="9" xfId="0" applyFont="1" applyBorder="1" applyAlignment="1">
      <alignment horizontal="left" vertical="center" wrapText="1" readingOrder="1"/>
    </xf>
    <xf numFmtId="0" fontId="23" fillId="0" borderId="9" xfId="0" applyFont="1" applyBorder="1" applyAlignment="1">
      <alignment horizontal="center" vertical="center" wrapText="1" readingOrder="1"/>
    </xf>
    <xf numFmtId="0" fontId="10" fillId="11" borderId="2" xfId="1" applyFont="1" applyFill="1" applyBorder="1" applyAlignment="1">
      <alignment horizontal="center" vertical="top" wrapText="1"/>
    </xf>
    <xf numFmtId="0" fontId="10" fillId="12" borderId="2" xfId="1" applyFont="1" applyFill="1" applyBorder="1" applyAlignment="1">
      <alignment horizontal="center" vertical="top" wrapText="1"/>
    </xf>
    <xf numFmtId="0" fontId="15" fillId="2" borderId="2" xfId="1" applyFont="1" applyFill="1" applyBorder="1" applyAlignment="1">
      <alignment vertical="center" wrapText="1"/>
    </xf>
    <xf numFmtId="0" fontId="19" fillId="0" borderId="0" xfId="0" applyFont="1"/>
    <xf numFmtId="0" fontId="19" fillId="0" borderId="0" xfId="0" applyFont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164" fontId="16" fillId="13" borderId="1" xfId="0" applyNumberFormat="1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8" fillId="0" borderId="0" xfId="0" applyFont="1"/>
    <xf numFmtId="0" fontId="16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vertical="top" wrapText="1"/>
    </xf>
    <xf numFmtId="0" fontId="16" fillId="0" borderId="10" xfId="0" applyFont="1" applyBorder="1" applyAlignment="1">
      <alignment horizontal="center" vertical="top" wrapText="1"/>
    </xf>
    <xf numFmtId="0" fontId="16" fillId="0" borderId="10" xfId="0" applyFont="1" applyBorder="1" applyAlignment="1">
      <alignment vertical="top" wrapText="1"/>
    </xf>
    <xf numFmtId="0" fontId="10" fillId="0" borderId="10" xfId="0" applyFont="1" applyBorder="1" applyAlignment="1">
      <alignment vertical="top" wrapText="1"/>
    </xf>
    <xf numFmtId="0" fontId="10" fillId="0" borderId="10" xfId="0" applyFont="1" applyBorder="1" applyAlignment="1">
      <alignment horizontal="center" vertical="top" wrapText="1"/>
    </xf>
    <xf numFmtId="0" fontId="18" fillId="0" borderId="10" xfId="0" applyFont="1" applyBorder="1" applyAlignment="1">
      <alignment vertical="top" wrapText="1"/>
    </xf>
    <xf numFmtId="0" fontId="16" fillId="0" borderId="2" xfId="0" applyFont="1" applyBorder="1" applyAlignment="1">
      <alignment horizontal="center" vertical="top" wrapText="1"/>
    </xf>
    <xf numFmtId="0" fontId="16" fillId="0" borderId="2" xfId="0" applyFont="1" applyBorder="1" applyAlignment="1">
      <alignment vertical="top" wrapText="1"/>
    </xf>
    <xf numFmtId="0" fontId="0" fillId="0" borderId="2" xfId="0" applyBorder="1"/>
    <xf numFmtId="0" fontId="25" fillId="0" borderId="1" xfId="0" applyFont="1" applyBorder="1" applyAlignment="1">
      <alignment vertical="top" wrapText="1"/>
    </xf>
    <xf numFmtId="14" fontId="0" fillId="0" borderId="0" xfId="0" applyNumberFormat="1"/>
    <xf numFmtId="0" fontId="5" fillId="0" borderId="0" xfId="0" applyFont="1"/>
    <xf numFmtId="0" fontId="8" fillId="0" borderId="0" xfId="0" applyFont="1"/>
    <xf numFmtId="0" fontId="1" fillId="0" borderId="0" xfId="0" applyFont="1" applyAlignment="1">
      <alignment vertical="center"/>
    </xf>
    <xf numFmtId="0" fontId="0" fillId="0" borderId="0" xfId="0"/>
    <xf numFmtId="0" fontId="8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 wrapText="1"/>
    </xf>
  </cellXfs>
  <cellStyles count="2">
    <cellStyle name="Normalny" xfId="0" builtinId="0"/>
    <cellStyle name="Normalny 2" xfId="1" xr:uid="{026D1203-E15E-435A-B71D-E509EEA64764}"/>
  </cellStyles>
  <dxfs count="19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D9D9D9"/>
        </patternFill>
      </fill>
    </dxf>
    <dxf>
      <font>
        <i/>
        <color rgb="FF808080"/>
      </font>
    </dxf>
    <dxf>
      <fill>
        <patternFill>
          <bgColor rgb="FFC6E0B4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FF9999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5DF34-F1F6-42A9-85FC-8FF4C5D4D672}">
  <dimension ref="A1:F10"/>
  <sheetViews>
    <sheetView tabSelected="1" workbookViewId="0">
      <selection activeCell="B18" sqref="B18"/>
    </sheetView>
  </sheetViews>
  <sheetFormatPr defaultRowHeight="14.6" x14ac:dyDescent="0.4"/>
  <cols>
    <col min="1" max="1" width="4" customWidth="1"/>
    <col min="2" max="2" width="22.3046875" bestFit="1" customWidth="1"/>
    <col min="3" max="3" width="34" customWidth="1"/>
    <col min="4" max="4" width="66" customWidth="1"/>
    <col min="5" max="5" width="18" customWidth="1"/>
    <col min="6" max="6" width="36" customWidth="1"/>
  </cols>
  <sheetData>
    <row r="1" spans="1:6" ht="18.45" x14ac:dyDescent="0.4">
      <c r="A1" s="66" t="s">
        <v>213</v>
      </c>
      <c r="B1" s="67"/>
      <c r="C1" s="67"/>
      <c r="D1" s="67"/>
      <c r="E1" s="67"/>
      <c r="F1" s="67"/>
    </row>
    <row r="2" spans="1:6" ht="18.899999999999999" thickBot="1" x14ac:dyDescent="0.45">
      <c r="A2" s="1"/>
    </row>
    <row r="3" spans="1:6" ht="18.45" x14ac:dyDescent="0.4">
      <c r="A3" s="1"/>
      <c r="B3" s="10" t="s">
        <v>11</v>
      </c>
      <c r="C3" s="6" t="s">
        <v>12</v>
      </c>
    </row>
    <row r="4" spans="1:6" ht="18.45" x14ac:dyDescent="0.4">
      <c r="A4" s="1"/>
      <c r="B4" s="11" t="s">
        <v>13</v>
      </c>
      <c r="C4" s="7" t="s">
        <v>14</v>
      </c>
    </row>
    <row r="5" spans="1:6" ht="18.45" x14ac:dyDescent="0.4">
      <c r="A5" s="1"/>
      <c r="B5" s="11" t="s">
        <v>15</v>
      </c>
      <c r="C5" s="8"/>
    </row>
    <row r="6" spans="1:6" ht="18.899999999999999" thickBot="1" x14ac:dyDescent="0.45">
      <c r="A6" s="1"/>
      <c r="B6" s="12" t="s">
        <v>16</v>
      </c>
      <c r="C6" s="9"/>
    </row>
    <row r="8" spans="1:6" x14ac:dyDescent="0.4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1:6" ht="77.150000000000006" x14ac:dyDescent="0.4">
      <c r="A9" s="3">
        <v>1</v>
      </c>
      <c r="B9" s="13" t="s">
        <v>6</v>
      </c>
      <c r="C9" s="4" t="s">
        <v>212</v>
      </c>
      <c r="D9" s="4" t="s">
        <v>7</v>
      </c>
      <c r="E9" s="5"/>
      <c r="F9" s="4"/>
    </row>
    <row r="10" spans="1:6" ht="38.6" x14ac:dyDescent="0.4">
      <c r="A10" s="3">
        <v>2</v>
      </c>
      <c r="B10" s="14" t="s">
        <v>8</v>
      </c>
      <c r="C10" s="4" t="s">
        <v>9</v>
      </c>
      <c r="D10" s="4" t="s">
        <v>10</v>
      </c>
      <c r="E10" s="5"/>
      <c r="F10" s="4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9C0B-310C-491D-A9D1-4F7FE20775C9}">
  <dimension ref="A1:E17"/>
  <sheetViews>
    <sheetView workbookViewId="0">
      <selection activeCell="C3" sqref="C3:C6"/>
    </sheetView>
  </sheetViews>
  <sheetFormatPr defaultRowHeight="14.6" x14ac:dyDescent="0.4"/>
  <cols>
    <col min="1" max="1" width="4" customWidth="1"/>
    <col min="2" max="2" width="18" customWidth="1"/>
    <col min="3" max="3" width="52" customWidth="1"/>
    <col min="4" max="4" width="38" customWidth="1"/>
    <col min="5" max="5" width="66" customWidth="1"/>
  </cols>
  <sheetData>
    <row r="1" spans="1:5" ht="18.45" x14ac:dyDescent="0.4">
      <c r="A1" s="68" t="s">
        <v>214</v>
      </c>
      <c r="B1" s="67"/>
      <c r="C1" s="67"/>
      <c r="D1" s="67"/>
      <c r="E1" s="67"/>
    </row>
    <row r="2" spans="1:5" ht="15" thickBot="1" x14ac:dyDescent="0.45"/>
    <row r="3" spans="1:5" x14ac:dyDescent="0.4">
      <c r="B3" s="10" t="s">
        <v>11</v>
      </c>
      <c r="C3" s="6"/>
    </row>
    <row r="4" spans="1:5" x14ac:dyDescent="0.4">
      <c r="B4" s="11" t="s">
        <v>13</v>
      </c>
      <c r="C4" s="7"/>
    </row>
    <row r="5" spans="1:5" x14ac:dyDescent="0.4">
      <c r="B5" s="11" t="s">
        <v>15</v>
      </c>
      <c r="C5" s="8"/>
    </row>
    <row r="6" spans="1:5" ht="15" thickBot="1" x14ac:dyDescent="0.45">
      <c r="B6" s="12" t="s">
        <v>16</v>
      </c>
      <c r="C6" s="9"/>
    </row>
    <row r="9" spans="1:5" x14ac:dyDescent="0.4">
      <c r="A9" s="24" t="s">
        <v>0</v>
      </c>
      <c r="B9" s="24" t="s">
        <v>1</v>
      </c>
      <c r="C9" s="24" t="s">
        <v>17</v>
      </c>
      <c r="D9" s="24" t="s">
        <v>18</v>
      </c>
      <c r="E9" s="24" t="s">
        <v>19</v>
      </c>
    </row>
    <row r="10" spans="1:5" ht="38.6" x14ac:dyDescent="0.4">
      <c r="A10" s="18">
        <v>2</v>
      </c>
      <c r="B10" s="19" t="s">
        <v>37</v>
      </c>
      <c r="C10" s="20" t="s">
        <v>20</v>
      </c>
      <c r="D10" s="20" t="s">
        <v>21</v>
      </c>
      <c r="E10" s="20" t="s">
        <v>22</v>
      </c>
    </row>
    <row r="11" spans="1:5" ht="38.6" x14ac:dyDescent="0.4">
      <c r="A11" s="18">
        <v>3</v>
      </c>
      <c r="B11" s="19" t="s">
        <v>37</v>
      </c>
      <c r="C11" s="20" t="s">
        <v>23</v>
      </c>
      <c r="D11" s="20" t="s">
        <v>24</v>
      </c>
      <c r="E11" s="20" t="s">
        <v>25</v>
      </c>
    </row>
    <row r="12" spans="1:5" ht="25.75" x14ac:dyDescent="0.4">
      <c r="A12" s="18">
        <v>7</v>
      </c>
      <c r="B12" s="21" t="s">
        <v>38</v>
      </c>
      <c r="C12" s="20" t="s">
        <v>26</v>
      </c>
      <c r="D12" s="20" t="s">
        <v>215</v>
      </c>
      <c r="E12" s="20" t="s">
        <v>27</v>
      </c>
    </row>
    <row r="13" spans="1:5" ht="38.6" x14ac:dyDescent="0.4">
      <c r="A13" s="18">
        <v>11</v>
      </c>
      <c r="B13" s="22" t="s">
        <v>39</v>
      </c>
      <c r="C13" s="20" t="s">
        <v>216</v>
      </c>
      <c r="D13" s="20" t="s">
        <v>28</v>
      </c>
      <c r="E13" s="20" t="s">
        <v>29</v>
      </c>
    </row>
    <row r="14" spans="1:5" ht="25.75" x14ac:dyDescent="0.4">
      <c r="A14" s="18">
        <v>15</v>
      </c>
      <c r="B14" s="22" t="s">
        <v>39</v>
      </c>
      <c r="C14" s="20" t="s">
        <v>44</v>
      </c>
      <c r="D14" s="20" t="s">
        <v>45</v>
      </c>
      <c r="E14" s="20" t="s">
        <v>30</v>
      </c>
    </row>
    <row r="15" spans="1:5" ht="25.75" x14ac:dyDescent="0.4">
      <c r="A15" s="18">
        <v>18</v>
      </c>
      <c r="B15" s="14" t="s">
        <v>40</v>
      </c>
      <c r="C15" s="20" t="s">
        <v>31</v>
      </c>
      <c r="D15" s="20" t="s">
        <v>32</v>
      </c>
      <c r="E15" s="20" t="s">
        <v>33</v>
      </c>
    </row>
    <row r="16" spans="1:5" ht="25.75" x14ac:dyDescent="0.4">
      <c r="A16" s="18">
        <v>25</v>
      </c>
      <c r="B16" s="23" t="s">
        <v>41</v>
      </c>
      <c r="C16" s="20" t="s">
        <v>42</v>
      </c>
      <c r="D16" s="20" t="s">
        <v>34</v>
      </c>
      <c r="E16" s="20" t="s">
        <v>217</v>
      </c>
    </row>
    <row r="17" spans="1:5" ht="25.75" x14ac:dyDescent="0.4">
      <c r="A17" s="18">
        <v>32</v>
      </c>
      <c r="B17" s="13" t="s">
        <v>43</v>
      </c>
      <c r="C17" s="20" t="s">
        <v>35</v>
      </c>
      <c r="D17" s="20" t="s">
        <v>46</v>
      </c>
      <c r="E17" s="20" t="s">
        <v>36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2E59E-96CE-47D0-9B7C-DEEF3A193411}">
  <dimension ref="A1:D11"/>
  <sheetViews>
    <sheetView workbookViewId="0">
      <selection activeCell="B3" sqref="B3"/>
    </sheetView>
  </sheetViews>
  <sheetFormatPr defaultRowHeight="14.6" x14ac:dyDescent="0.4"/>
  <cols>
    <col min="1" max="1" width="4" customWidth="1"/>
    <col min="2" max="2" width="34" customWidth="1"/>
    <col min="3" max="3" width="62" customWidth="1"/>
    <col min="4" max="4" width="52" customWidth="1"/>
  </cols>
  <sheetData>
    <row r="1" spans="1:4" ht="18.45" x14ac:dyDescent="0.4">
      <c r="A1" s="68" t="s">
        <v>224</v>
      </c>
      <c r="B1" s="67"/>
      <c r="C1" s="67"/>
      <c r="D1" s="67"/>
    </row>
    <row r="2" spans="1:4" ht="18.899999999999999" thickBot="1" x14ac:dyDescent="0.45">
      <c r="A2" s="15"/>
    </row>
    <row r="3" spans="1:4" ht="18.45" x14ac:dyDescent="0.4">
      <c r="A3" s="15"/>
      <c r="B3" s="10" t="s">
        <v>11</v>
      </c>
      <c r="C3" s="6" t="s">
        <v>12</v>
      </c>
    </row>
    <row r="4" spans="1:4" ht="18.45" x14ac:dyDescent="0.4">
      <c r="A4" s="15"/>
      <c r="B4" s="11" t="s">
        <v>13</v>
      </c>
      <c r="C4" s="7" t="s">
        <v>14</v>
      </c>
    </row>
    <row r="5" spans="1:4" ht="18.45" x14ac:dyDescent="0.4">
      <c r="A5" s="15"/>
      <c r="B5" s="11" t="s">
        <v>15</v>
      </c>
      <c r="C5" s="8">
        <v>46302</v>
      </c>
    </row>
    <row r="6" spans="1:4" ht="18.899999999999999" thickBot="1" x14ac:dyDescent="0.45">
      <c r="A6" s="15"/>
      <c r="B6" s="12" t="s">
        <v>16</v>
      </c>
      <c r="C6" s="9">
        <v>46308</v>
      </c>
    </row>
    <row r="8" spans="1:4" x14ac:dyDescent="0.4">
      <c r="A8" s="26" t="s">
        <v>0</v>
      </c>
      <c r="B8" s="26" t="s">
        <v>47</v>
      </c>
      <c r="C8" s="26" t="s">
        <v>48</v>
      </c>
      <c r="D8" s="26" t="s">
        <v>49</v>
      </c>
    </row>
    <row r="9" spans="1:4" ht="51.45" x14ac:dyDescent="0.4">
      <c r="A9" s="16">
        <v>2</v>
      </c>
      <c r="B9" s="17" t="s">
        <v>50</v>
      </c>
      <c r="C9" s="17" t="s">
        <v>218</v>
      </c>
      <c r="D9" s="17" t="s">
        <v>219</v>
      </c>
    </row>
    <row r="10" spans="1:4" ht="51.45" x14ac:dyDescent="0.4">
      <c r="A10" s="16">
        <v>3</v>
      </c>
      <c r="B10" s="17" t="s">
        <v>51</v>
      </c>
      <c r="C10" s="17" t="s">
        <v>55</v>
      </c>
      <c r="D10" s="17" t="s">
        <v>52</v>
      </c>
    </row>
    <row r="11" spans="1:4" ht="38.6" x14ac:dyDescent="0.4">
      <c r="A11" s="16">
        <v>4</v>
      </c>
      <c r="B11" s="17" t="s">
        <v>53</v>
      </c>
      <c r="C11" s="17" t="s">
        <v>56</v>
      </c>
      <c r="D11" s="17" t="s">
        <v>54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8888-1384-4584-B51C-FAF5C1FD38F8}">
  <dimension ref="A1:K14"/>
  <sheetViews>
    <sheetView workbookViewId="0">
      <selection activeCell="C7" sqref="C7"/>
    </sheetView>
  </sheetViews>
  <sheetFormatPr defaultRowHeight="14.6" x14ac:dyDescent="0.4"/>
  <cols>
    <col min="1" max="1" width="3.23046875" bestFit="1" customWidth="1"/>
    <col min="2" max="2" width="29.15234375" customWidth="1"/>
    <col min="3" max="3" width="32.4609375" customWidth="1"/>
    <col min="4" max="4" width="36.23046875" customWidth="1"/>
    <col min="5" max="5" width="14.3828125" customWidth="1"/>
    <col min="6" max="6" width="29.07421875" customWidth="1"/>
    <col min="7" max="8" width="33.3828125" customWidth="1"/>
  </cols>
  <sheetData>
    <row r="1" spans="1:11" ht="18.45" x14ac:dyDescent="0.4">
      <c r="A1" s="68" t="s">
        <v>223</v>
      </c>
      <c r="B1" s="67"/>
      <c r="C1" s="67"/>
      <c r="D1" s="67"/>
      <c r="E1" s="67"/>
    </row>
    <row r="2" spans="1:11" ht="15" thickBot="1" x14ac:dyDescent="0.45"/>
    <row r="3" spans="1:11" x14ac:dyDescent="0.4">
      <c r="B3" s="10" t="s">
        <v>11</v>
      </c>
      <c r="C3" s="6" t="s">
        <v>12</v>
      </c>
    </row>
    <row r="4" spans="1:11" x14ac:dyDescent="0.4">
      <c r="B4" s="11" t="s">
        <v>13</v>
      </c>
      <c r="C4" s="7" t="s">
        <v>14</v>
      </c>
    </row>
    <row r="5" spans="1:11" x14ac:dyDescent="0.4">
      <c r="B5" s="11" t="s">
        <v>15</v>
      </c>
      <c r="C5" s="8">
        <v>46308</v>
      </c>
    </row>
    <row r="6" spans="1:11" ht="15" thickBot="1" x14ac:dyDescent="0.45">
      <c r="B6" s="12" t="s">
        <v>16</v>
      </c>
      <c r="C6" s="9">
        <v>46308</v>
      </c>
    </row>
    <row r="8" spans="1:11" ht="25.75" x14ac:dyDescent="0.4">
      <c r="A8" s="42" t="s">
        <v>0</v>
      </c>
      <c r="B8" s="42" t="s">
        <v>57</v>
      </c>
      <c r="C8" s="42" t="s">
        <v>58</v>
      </c>
      <c r="D8" s="42" t="s">
        <v>59</v>
      </c>
      <c r="E8" s="42" t="s">
        <v>67</v>
      </c>
      <c r="F8" s="42" t="s">
        <v>60</v>
      </c>
      <c r="G8" s="42" t="s">
        <v>61</v>
      </c>
      <c r="H8" s="42" t="s">
        <v>112</v>
      </c>
      <c r="I8" s="42" t="s">
        <v>62</v>
      </c>
      <c r="J8" s="42" t="s">
        <v>63</v>
      </c>
      <c r="K8" s="42" t="s">
        <v>64</v>
      </c>
    </row>
    <row r="9" spans="1:11" x14ac:dyDescent="0.4">
      <c r="A9" s="27">
        <v>1</v>
      </c>
      <c r="B9" s="28"/>
      <c r="C9" s="29"/>
      <c r="D9" s="29"/>
      <c r="E9" s="40" t="s">
        <v>65</v>
      </c>
      <c r="F9" s="29"/>
      <c r="G9" s="29"/>
      <c r="H9" s="29"/>
      <c r="I9" s="27"/>
      <c r="J9" s="27"/>
      <c r="K9" s="27"/>
    </row>
    <row r="10" spans="1:11" x14ac:dyDescent="0.4">
      <c r="A10" s="27">
        <v>2</v>
      </c>
      <c r="B10" s="28"/>
      <c r="C10" s="29"/>
      <c r="D10" s="29"/>
      <c r="E10" s="41" t="s">
        <v>66</v>
      </c>
      <c r="F10" s="29"/>
      <c r="G10" s="29"/>
      <c r="H10" s="29"/>
      <c r="I10" s="27"/>
      <c r="J10" s="27"/>
      <c r="K10" s="27"/>
    </row>
    <row r="11" spans="1:11" x14ac:dyDescent="0.4">
      <c r="A11" s="27">
        <v>3</v>
      </c>
      <c r="B11" s="28"/>
      <c r="C11" s="29"/>
      <c r="D11" s="29"/>
      <c r="E11" s="40" t="s">
        <v>65</v>
      </c>
      <c r="F11" s="29"/>
      <c r="G11" s="29"/>
      <c r="H11" s="29"/>
      <c r="I11" s="27"/>
      <c r="J11" s="27"/>
      <c r="K11" s="27"/>
    </row>
    <row r="12" spans="1:11" x14ac:dyDescent="0.4">
      <c r="A12" s="27">
        <v>4</v>
      </c>
      <c r="B12" s="28"/>
      <c r="C12" s="29"/>
      <c r="D12" s="29"/>
      <c r="E12" s="41" t="s">
        <v>66</v>
      </c>
      <c r="F12" s="29"/>
      <c r="G12" s="29"/>
      <c r="H12" s="29"/>
      <c r="I12" s="27"/>
      <c r="J12" s="27"/>
      <c r="K12" s="27"/>
    </row>
    <row r="13" spans="1:11" x14ac:dyDescent="0.4">
      <c r="A13" s="27">
        <v>5</v>
      </c>
      <c r="B13" s="28"/>
      <c r="C13" s="29"/>
      <c r="D13" s="29"/>
      <c r="E13" s="40" t="s">
        <v>65</v>
      </c>
      <c r="F13" s="29"/>
      <c r="G13" s="29"/>
      <c r="H13" s="29"/>
      <c r="I13" s="27"/>
      <c r="J13" s="27"/>
      <c r="K13" s="27"/>
    </row>
    <row r="14" spans="1:11" x14ac:dyDescent="0.4">
      <c r="A14" s="27">
        <v>6</v>
      </c>
      <c r="B14" s="28"/>
      <c r="C14" s="29"/>
      <c r="D14" s="29"/>
      <c r="E14" s="40" t="s">
        <v>65</v>
      </c>
      <c r="F14" s="29"/>
      <c r="G14" s="29"/>
      <c r="H14" s="29"/>
      <c r="I14" s="27"/>
      <c r="J14" s="27"/>
      <c r="K14" s="27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560C-42D8-41FB-85F5-46725462FB8E}">
  <dimension ref="A1:J56"/>
  <sheetViews>
    <sheetView workbookViewId="0">
      <selection activeCell="A9" sqref="A9"/>
    </sheetView>
  </sheetViews>
  <sheetFormatPr defaultColWidth="8.69140625" defaultRowHeight="14.6" x14ac:dyDescent="0.4"/>
  <cols>
    <col min="1" max="1" width="4" customWidth="1"/>
    <col min="2" max="2" width="26" customWidth="1"/>
    <col min="3" max="3" width="30.4609375" customWidth="1"/>
    <col min="4" max="9" width="9" customWidth="1"/>
    <col min="10" max="10" width="70" customWidth="1"/>
  </cols>
  <sheetData>
    <row r="1" spans="1:10" ht="25.5" customHeight="1" thickBot="1" x14ac:dyDescent="0.45">
      <c r="A1" s="68" t="s">
        <v>225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8.45" x14ac:dyDescent="0.4">
      <c r="A2" s="15"/>
      <c r="B2" s="10" t="s">
        <v>11</v>
      </c>
      <c r="C2" s="6" t="s">
        <v>12</v>
      </c>
      <c r="D2" s="15"/>
      <c r="E2" s="15"/>
      <c r="F2" s="15"/>
      <c r="G2" s="15"/>
      <c r="H2" s="15"/>
      <c r="I2" s="15"/>
      <c r="J2" s="15"/>
    </row>
    <row r="3" spans="1:10" ht="18.45" x14ac:dyDescent="0.4">
      <c r="A3" s="15"/>
      <c r="B3" s="11" t="s">
        <v>13</v>
      </c>
      <c r="C3" s="7" t="s">
        <v>14</v>
      </c>
      <c r="D3" s="15"/>
      <c r="E3" s="15"/>
      <c r="F3" s="15"/>
      <c r="G3" s="15"/>
      <c r="H3" s="15"/>
      <c r="I3" s="15"/>
      <c r="J3" s="15"/>
    </row>
    <row r="4" spans="1:10" ht="18.45" x14ac:dyDescent="0.4">
      <c r="A4" s="15"/>
      <c r="B4" s="11" t="s">
        <v>15</v>
      </c>
      <c r="C4" s="8">
        <v>46308</v>
      </c>
      <c r="D4" s="15"/>
      <c r="E4" s="15"/>
      <c r="F4" s="15"/>
      <c r="G4" s="15"/>
      <c r="H4" s="15"/>
      <c r="I4" s="15"/>
      <c r="J4" s="15"/>
    </row>
    <row r="5" spans="1:10" ht="18.899999999999999" thickBot="1" x14ac:dyDescent="0.45">
      <c r="A5" s="15"/>
      <c r="B5" s="12" t="s">
        <v>16</v>
      </c>
      <c r="C5" s="9">
        <v>46308</v>
      </c>
      <c r="D5" s="15"/>
      <c r="E5" s="15"/>
      <c r="F5" s="15"/>
      <c r="G5" s="15"/>
      <c r="H5" s="15"/>
      <c r="I5" s="15"/>
      <c r="J5" s="15"/>
    </row>
    <row r="6" spans="1:10" ht="25.5" customHeight="1" x14ac:dyDescent="0.4">
      <c r="A6" s="15"/>
      <c r="B6" s="15"/>
      <c r="C6" s="15"/>
      <c r="D6" s="15"/>
      <c r="E6" s="15"/>
      <c r="F6" s="15"/>
      <c r="G6" s="15"/>
      <c r="H6" s="15"/>
      <c r="I6" s="15"/>
      <c r="J6" s="15"/>
    </row>
    <row r="7" spans="1:10" ht="6" customHeight="1" x14ac:dyDescent="0.4"/>
    <row r="8" spans="1:10" ht="30" customHeight="1" x14ac:dyDescent="0.4">
      <c r="A8" s="50" t="s">
        <v>0</v>
      </c>
      <c r="B8" s="50" t="s">
        <v>57</v>
      </c>
      <c r="C8" s="50" t="s">
        <v>102</v>
      </c>
      <c r="D8" s="50" t="s">
        <v>103</v>
      </c>
      <c r="E8" s="50" t="s">
        <v>104</v>
      </c>
      <c r="F8" s="50" t="s">
        <v>105</v>
      </c>
      <c r="G8" s="50" t="s">
        <v>106</v>
      </c>
      <c r="H8" s="50" t="s">
        <v>107</v>
      </c>
      <c r="I8" s="50" t="s">
        <v>108</v>
      </c>
      <c r="J8" s="50" t="s">
        <v>109</v>
      </c>
    </row>
    <row r="9" spans="1:10" x14ac:dyDescent="0.4">
      <c r="C9" s="43" t="s">
        <v>110</v>
      </c>
      <c r="D9" s="44">
        <v>4</v>
      </c>
      <c r="E9" s="44">
        <v>24</v>
      </c>
      <c r="F9" s="44">
        <v>72</v>
      </c>
      <c r="G9" s="44">
        <v>168</v>
      </c>
      <c r="H9" s="44">
        <v>336</v>
      </c>
      <c r="I9" s="44">
        <v>720</v>
      </c>
    </row>
    <row r="10" spans="1:10" ht="15" customHeight="1" x14ac:dyDescent="0.4">
      <c r="A10" s="69">
        <v>1</v>
      </c>
      <c r="B10" s="70"/>
      <c r="C10" s="17" t="s">
        <v>73</v>
      </c>
      <c r="D10" s="45">
        <v>1</v>
      </c>
      <c r="E10" s="45">
        <v>1</v>
      </c>
      <c r="F10" s="45">
        <v>1</v>
      </c>
      <c r="G10" s="45">
        <v>1</v>
      </c>
      <c r="H10" s="45">
        <v>1</v>
      </c>
      <c r="I10" s="45">
        <v>1</v>
      </c>
      <c r="J10" s="17"/>
    </row>
    <row r="11" spans="1:10" ht="27.75" customHeight="1" x14ac:dyDescent="0.4">
      <c r="A11" s="69"/>
      <c r="B11" s="69"/>
      <c r="C11" s="17" t="s">
        <v>78</v>
      </c>
      <c r="D11" s="45">
        <v>1</v>
      </c>
      <c r="E11" s="45">
        <v>1</v>
      </c>
      <c r="F11" s="45">
        <v>1</v>
      </c>
      <c r="G11" s="45">
        <v>1</v>
      </c>
      <c r="H11" s="45">
        <v>2</v>
      </c>
      <c r="I11" s="45">
        <v>3</v>
      </c>
      <c r="J11" s="17"/>
    </row>
    <row r="12" spans="1:10" x14ac:dyDescent="0.4">
      <c r="A12" s="69"/>
      <c r="B12" s="69"/>
      <c r="C12" s="17" t="s">
        <v>83</v>
      </c>
      <c r="D12" s="45">
        <v>1</v>
      </c>
      <c r="E12" s="45">
        <v>1</v>
      </c>
      <c r="F12" s="45">
        <v>1</v>
      </c>
      <c r="G12" s="45">
        <v>1</v>
      </c>
      <c r="H12" s="45">
        <v>1</v>
      </c>
      <c r="I12" s="45">
        <v>1</v>
      </c>
      <c r="J12" s="17"/>
    </row>
    <row r="13" spans="1:10" ht="27.75" customHeight="1" x14ac:dyDescent="0.4">
      <c r="A13" s="69"/>
      <c r="B13" s="69"/>
      <c r="C13" s="17" t="s">
        <v>88</v>
      </c>
      <c r="D13" s="45">
        <v>1</v>
      </c>
      <c r="E13" s="45">
        <v>1</v>
      </c>
      <c r="F13" s="45">
        <v>2</v>
      </c>
      <c r="G13" s="45">
        <v>2</v>
      </c>
      <c r="H13" s="45">
        <v>3</v>
      </c>
      <c r="I13" s="45">
        <v>3</v>
      </c>
      <c r="J13" s="17"/>
    </row>
    <row r="14" spans="1:10" x14ac:dyDescent="0.4">
      <c r="A14" s="69"/>
      <c r="B14" s="69"/>
      <c r="C14" s="17" t="s">
        <v>68</v>
      </c>
      <c r="D14" s="45">
        <v>1</v>
      </c>
      <c r="E14" s="45">
        <v>1</v>
      </c>
      <c r="F14" s="45">
        <v>1</v>
      </c>
      <c r="G14" s="45">
        <v>1</v>
      </c>
      <c r="H14" s="45">
        <v>1</v>
      </c>
      <c r="I14" s="45">
        <v>2</v>
      </c>
      <c r="J14" s="17"/>
    </row>
    <row r="15" spans="1:10" ht="15" customHeight="1" x14ac:dyDescent="0.4">
      <c r="A15" s="69"/>
      <c r="B15" s="69"/>
      <c r="C15" s="17" t="s">
        <v>97</v>
      </c>
      <c r="D15" s="45">
        <v>1</v>
      </c>
      <c r="E15" s="45">
        <v>1</v>
      </c>
      <c r="F15" s="45">
        <v>2</v>
      </c>
      <c r="G15" s="45">
        <v>2</v>
      </c>
      <c r="H15" s="45">
        <v>3</v>
      </c>
      <c r="I15" s="45">
        <v>3</v>
      </c>
      <c r="J15" s="17"/>
    </row>
    <row r="16" spans="1:10" x14ac:dyDescent="0.4">
      <c r="A16" s="69"/>
      <c r="B16" s="69"/>
      <c r="C16" s="46" t="s">
        <v>111</v>
      </c>
      <c r="D16" s="47">
        <f t="shared" ref="D16:I16" si="0">MAX(D10:D15)</f>
        <v>1</v>
      </c>
      <c r="E16" s="47">
        <f t="shared" si="0"/>
        <v>1</v>
      </c>
      <c r="F16" s="47">
        <f t="shared" si="0"/>
        <v>2</v>
      </c>
      <c r="G16" s="47">
        <f t="shared" si="0"/>
        <v>2</v>
      </c>
      <c r="H16" s="47">
        <f t="shared" si="0"/>
        <v>3</v>
      </c>
      <c r="I16" s="47">
        <f t="shared" si="0"/>
        <v>3</v>
      </c>
      <c r="J16" s="48"/>
    </row>
    <row r="18" spans="1:10" ht="15" customHeight="1" x14ac:dyDescent="0.4">
      <c r="A18" s="69">
        <v>2</v>
      </c>
      <c r="B18" s="70"/>
      <c r="C18" s="17"/>
      <c r="D18" s="45">
        <v>1</v>
      </c>
      <c r="E18" s="45">
        <v>1</v>
      </c>
      <c r="F18" s="45">
        <v>1</v>
      </c>
      <c r="G18" s="45">
        <v>1</v>
      </c>
      <c r="H18" s="45">
        <v>1</v>
      </c>
      <c r="I18" s="45">
        <v>1</v>
      </c>
      <c r="J18" s="17"/>
    </row>
    <row r="19" spans="1:10" ht="40.5" customHeight="1" x14ac:dyDescent="0.4">
      <c r="A19" s="69"/>
      <c r="B19" s="69"/>
      <c r="C19" s="17"/>
      <c r="D19" s="45">
        <v>1</v>
      </c>
      <c r="E19" s="45">
        <v>1</v>
      </c>
      <c r="F19" s="45">
        <v>2</v>
      </c>
      <c r="G19" s="45">
        <v>3</v>
      </c>
      <c r="H19" s="45">
        <v>3</v>
      </c>
      <c r="I19" s="45">
        <v>4</v>
      </c>
      <c r="J19" s="17"/>
    </row>
    <row r="20" spans="1:10" x14ac:dyDescent="0.4">
      <c r="A20" s="69"/>
      <c r="B20" s="69"/>
      <c r="C20" s="17"/>
      <c r="D20" s="45">
        <v>1</v>
      </c>
      <c r="E20" s="45">
        <v>1</v>
      </c>
      <c r="F20" s="45">
        <v>1</v>
      </c>
      <c r="G20" s="45">
        <v>1</v>
      </c>
      <c r="H20" s="45">
        <v>1</v>
      </c>
      <c r="I20" s="45">
        <v>1</v>
      </c>
      <c r="J20" s="17"/>
    </row>
    <row r="21" spans="1:10" ht="27.75" customHeight="1" x14ac:dyDescent="0.4">
      <c r="A21" s="69"/>
      <c r="B21" s="69"/>
      <c r="C21" s="17"/>
      <c r="D21" s="45">
        <v>1</v>
      </c>
      <c r="E21" s="45">
        <v>2</v>
      </c>
      <c r="F21" s="45">
        <v>2</v>
      </c>
      <c r="G21" s="45">
        <v>3</v>
      </c>
      <c r="H21" s="45">
        <v>3</v>
      </c>
      <c r="I21" s="45">
        <v>4</v>
      </c>
      <c r="J21" s="17"/>
    </row>
    <row r="22" spans="1:10" ht="15" customHeight="1" x14ac:dyDescent="0.4">
      <c r="A22" s="69"/>
      <c r="B22" s="69"/>
      <c r="C22" s="17"/>
      <c r="D22" s="45">
        <v>1</v>
      </c>
      <c r="E22" s="45">
        <v>1</v>
      </c>
      <c r="F22" s="45">
        <v>1</v>
      </c>
      <c r="G22" s="45">
        <v>1</v>
      </c>
      <c r="H22" s="45">
        <v>2</v>
      </c>
      <c r="I22" s="45">
        <v>2</v>
      </c>
      <c r="J22" s="17"/>
    </row>
    <row r="23" spans="1:10" ht="27.75" customHeight="1" x14ac:dyDescent="0.4">
      <c r="A23" s="69"/>
      <c r="B23" s="69"/>
      <c r="C23" s="17"/>
      <c r="D23" s="45">
        <v>1</v>
      </c>
      <c r="E23" s="45">
        <v>2</v>
      </c>
      <c r="F23" s="45">
        <v>3</v>
      </c>
      <c r="G23" s="45">
        <v>4</v>
      </c>
      <c r="H23" s="45">
        <v>4</v>
      </c>
      <c r="I23" s="45">
        <v>4</v>
      </c>
      <c r="J23" s="17"/>
    </row>
    <row r="24" spans="1:10" x14ac:dyDescent="0.4">
      <c r="A24" s="69"/>
      <c r="B24" s="69"/>
      <c r="C24" s="46" t="s">
        <v>111</v>
      </c>
      <c r="D24" s="47">
        <f t="shared" ref="D24:I24" si="1">MAX(D18:D23)</f>
        <v>1</v>
      </c>
      <c r="E24" s="47">
        <f t="shared" si="1"/>
        <v>2</v>
      </c>
      <c r="F24" s="47">
        <f t="shared" si="1"/>
        <v>3</v>
      </c>
      <c r="G24" s="47">
        <f t="shared" si="1"/>
        <v>4</v>
      </c>
      <c r="H24" s="47">
        <f t="shared" si="1"/>
        <v>4</v>
      </c>
      <c r="I24" s="47">
        <f t="shared" si="1"/>
        <v>4</v>
      </c>
      <c r="J24" s="48"/>
    </row>
    <row r="26" spans="1:10" ht="15" customHeight="1" x14ac:dyDescent="0.4">
      <c r="A26" s="69">
        <v>3</v>
      </c>
      <c r="B26" s="70"/>
      <c r="C26" s="17" t="s">
        <v>73</v>
      </c>
      <c r="D26" s="45">
        <v>1</v>
      </c>
      <c r="E26" s="45">
        <v>1</v>
      </c>
      <c r="F26" s="45">
        <v>1</v>
      </c>
      <c r="G26" s="45">
        <v>1</v>
      </c>
      <c r="H26" s="45">
        <v>1</v>
      </c>
      <c r="I26" s="45">
        <v>1</v>
      </c>
      <c r="J26" s="17"/>
    </row>
    <row r="27" spans="1:10" ht="27.75" customHeight="1" x14ac:dyDescent="0.4">
      <c r="A27" s="69"/>
      <c r="B27" s="69"/>
      <c r="C27" s="17" t="s">
        <v>78</v>
      </c>
      <c r="D27" s="45">
        <v>1</v>
      </c>
      <c r="E27" s="45">
        <v>1</v>
      </c>
      <c r="F27" s="45">
        <v>2</v>
      </c>
      <c r="G27" s="45">
        <v>2</v>
      </c>
      <c r="H27" s="45">
        <v>3</v>
      </c>
      <c r="I27" s="45">
        <v>3</v>
      </c>
      <c r="J27" s="17"/>
    </row>
    <row r="28" spans="1:10" ht="15" customHeight="1" x14ac:dyDescent="0.4">
      <c r="A28" s="69"/>
      <c r="B28" s="69"/>
      <c r="C28" s="17" t="s">
        <v>83</v>
      </c>
      <c r="D28" s="45">
        <v>1</v>
      </c>
      <c r="E28" s="45">
        <v>1</v>
      </c>
      <c r="F28" s="45">
        <v>1</v>
      </c>
      <c r="G28" s="45">
        <v>1</v>
      </c>
      <c r="H28" s="45">
        <v>1</v>
      </c>
      <c r="I28" s="45">
        <v>1</v>
      </c>
      <c r="J28" s="17"/>
    </row>
    <row r="29" spans="1:10" ht="15" customHeight="1" x14ac:dyDescent="0.4">
      <c r="A29" s="69"/>
      <c r="B29" s="69"/>
      <c r="C29" s="17" t="s">
        <v>88</v>
      </c>
      <c r="D29" s="45">
        <v>1</v>
      </c>
      <c r="E29" s="45">
        <v>2</v>
      </c>
      <c r="F29" s="45">
        <v>2</v>
      </c>
      <c r="G29" s="45">
        <v>2</v>
      </c>
      <c r="H29" s="45">
        <v>3</v>
      </c>
      <c r="I29" s="45">
        <v>3</v>
      </c>
      <c r="J29" s="17"/>
    </row>
    <row r="30" spans="1:10" ht="15" customHeight="1" x14ac:dyDescent="0.4">
      <c r="A30" s="69"/>
      <c r="B30" s="69"/>
      <c r="C30" s="17" t="s">
        <v>68</v>
      </c>
      <c r="D30" s="45">
        <v>1</v>
      </c>
      <c r="E30" s="45">
        <v>1</v>
      </c>
      <c r="F30" s="45">
        <v>1</v>
      </c>
      <c r="G30" s="45">
        <v>1</v>
      </c>
      <c r="H30" s="45">
        <v>1</v>
      </c>
      <c r="I30" s="45">
        <v>1</v>
      </c>
      <c r="J30" s="17"/>
    </row>
    <row r="31" spans="1:10" ht="27.75" customHeight="1" x14ac:dyDescent="0.4">
      <c r="A31" s="69"/>
      <c r="B31" s="69"/>
      <c r="C31" s="17" t="s">
        <v>97</v>
      </c>
      <c r="D31" s="45">
        <v>1</v>
      </c>
      <c r="E31" s="45">
        <v>2</v>
      </c>
      <c r="F31" s="45">
        <v>2</v>
      </c>
      <c r="G31" s="45">
        <v>3</v>
      </c>
      <c r="H31" s="45">
        <v>3</v>
      </c>
      <c r="I31" s="45">
        <v>3</v>
      </c>
      <c r="J31" s="17"/>
    </row>
    <row r="32" spans="1:10" x14ac:dyDescent="0.4">
      <c r="A32" s="69"/>
      <c r="B32" s="69"/>
      <c r="C32" s="46" t="s">
        <v>111</v>
      </c>
      <c r="D32" s="47">
        <f t="shared" ref="D32:I32" si="2">MAX(D26:D31)</f>
        <v>1</v>
      </c>
      <c r="E32" s="47">
        <f t="shared" si="2"/>
        <v>2</v>
      </c>
      <c r="F32" s="47">
        <f t="shared" si="2"/>
        <v>2</v>
      </c>
      <c r="G32" s="47">
        <f t="shared" si="2"/>
        <v>3</v>
      </c>
      <c r="H32" s="47">
        <f t="shared" si="2"/>
        <v>3</v>
      </c>
      <c r="I32" s="47">
        <f t="shared" si="2"/>
        <v>3</v>
      </c>
      <c r="J32" s="48"/>
    </row>
    <row r="34" spans="1:10" ht="15" customHeight="1" x14ac:dyDescent="0.4">
      <c r="A34" s="69">
        <v>4</v>
      </c>
      <c r="B34" s="70"/>
      <c r="C34" s="17" t="s">
        <v>73</v>
      </c>
      <c r="D34" s="45">
        <v>1</v>
      </c>
      <c r="E34" s="45">
        <v>1</v>
      </c>
      <c r="F34" s="45">
        <v>1</v>
      </c>
      <c r="G34" s="45">
        <v>1</v>
      </c>
      <c r="H34" s="45">
        <v>1</v>
      </c>
      <c r="I34" s="45">
        <v>1</v>
      </c>
      <c r="J34" s="17"/>
    </row>
    <row r="35" spans="1:10" ht="40.5" customHeight="1" x14ac:dyDescent="0.4">
      <c r="A35" s="69"/>
      <c r="B35" s="69"/>
      <c r="C35" s="17" t="s">
        <v>78</v>
      </c>
      <c r="D35" s="45">
        <v>1</v>
      </c>
      <c r="E35" s="45">
        <v>1</v>
      </c>
      <c r="F35" s="45">
        <v>2</v>
      </c>
      <c r="G35" s="45">
        <v>3</v>
      </c>
      <c r="H35" s="45">
        <v>3</v>
      </c>
      <c r="I35" s="45">
        <v>4</v>
      </c>
      <c r="J35" s="17"/>
    </row>
    <row r="36" spans="1:10" ht="15" customHeight="1" x14ac:dyDescent="0.4">
      <c r="A36" s="69"/>
      <c r="B36" s="69"/>
      <c r="C36" s="17" t="s">
        <v>83</v>
      </c>
      <c r="D36" s="45">
        <v>1</v>
      </c>
      <c r="E36" s="45">
        <v>2</v>
      </c>
      <c r="F36" s="45">
        <v>2</v>
      </c>
      <c r="G36" s="45">
        <v>3</v>
      </c>
      <c r="H36" s="45">
        <v>3</v>
      </c>
      <c r="I36" s="45">
        <v>3</v>
      </c>
      <c r="J36" s="17"/>
    </row>
    <row r="37" spans="1:10" ht="15" customHeight="1" x14ac:dyDescent="0.4">
      <c r="A37" s="69"/>
      <c r="B37" s="69"/>
      <c r="C37" s="17" t="s">
        <v>88</v>
      </c>
      <c r="D37" s="45">
        <v>1</v>
      </c>
      <c r="E37" s="45">
        <v>2</v>
      </c>
      <c r="F37" s="45">
        <v>3</v>
      </c>
      <c r="G37" s="45">
        <v>3</v>
      </c>
      <c r="H37" s="45">
        <v>3</v>
      </c>
      <c r="I37" s="45">
        <v>4</v>
      </c>
      <c r="J37" s="17"/>
    </row>
    <row r="38" spans="1:10" ht="15" customHeight="1" x14ac:dyDescent="0.4">
      <c r="A38" s="69"/>
      <c r="B38" s="69"/>
      <c r="C38" s="17" t="s">
        <v>68</v>
      </c>
      <c r="D38" s="45">
        <v>1</v>
      </c>
      <c r="E38" s="45">
        <v>1</v>
      </c>
      <c r="F38" s="45">
        <v>1</v>
      </c>
      <c r="G38" s="45">
        <v>1</v>
      </c>
      <c r="H38" s="45">
        <v>2</v>
      </c>
      <c r="I38" s="45">
        <v>2</v>
      </c>
      <c r="J38" s="17"/>
    </row>
    <row r="39" spans="1:10" ht="27.75" customHeight="1" x14ac:dyDescent="0.4">
      <c r="A39" s="69"/>
      <c r="B39" s="69"/>
      <c r="C39" s="17" t="s">
        <v>97</v>
      </c>
      <c r="D39" s="45">
        <v>2</v>
      </c>
      <c r="E39" s="45">
        <v>3</v>
      </c>
      <c r="F39" s="45">
        <v>4</v>
      </c>
      <c r="G39" s="45">
        <v>4</v>
      </c>
      <c r="H39" s="45">
        <v>4</v>
      </c>
      <c r="I39" s="45">
        <v>4</v>
      </c>
      <c r="J39" s="17"/>
    </row>
    <row r="40" spans="1:10" x14ac:dyDescent="0.4">
      <c r="A40" s="69"/>
      <c r="B40" s="69"/>
      <c r="C40" s="46" t="s">
        <v>111</v>
      </c>
      <c r="D40" s="47">
        <f t="shared" ref="D40:I40" si="3">MAX(D34:D39)</f>
        <v>2</v>
      </c>
      <c r="E40" s="47">
        <f t="shared" si="3"/>
        <v>3</v>
      </c>
      <c r="F40" s="47">
        <f t="shared" si="3"/>
        <v>4</v>
      </c>
      <c r="G40" s="47">
        <f t="shared" si="3"/>
        <v>4</v>
      </c>
      <c r="H40" s="47">
        <f t="shared" si="3"/>
        <v>4</v>
      </c>
      <c r="I40" s="47">
        <f t="shared" si="3"/>
        <v>4</v>
      </c>
      <c r="J40" s="48"/>
    </row>
    <row r="42" spans="1:10" ht="15" customHeight="1" x14ac:dyDescent="0.4">
      <c r="A42" s="69">
        <v>5</v>
      </c>
      <c r="B42" s="70"/>
      <c r="C42" s="17" t="s">
        <v>73</v>
      </c>
      <c r="D42" s="45">
        <v>1</v>
      </c>
      <c r="E42" s="45">
        <v>1</v>
      </c>
      <c r="F42" s="45">
        <v>1</v>
      </c>
      <c r="G42" s="45">
        <v>1</v>
      </c>
      <c r="H42" s="45">
        <v>1</v>
      </c>
      <c r="I42" s="45">
        <v>1</v>
      </c>
      <c r="J42" s="17"/>
    </row>
    <row r="43" spans="1:10" ht="15" customHeight="1" x14ac:dyDescent="0.4">
      <c r="A43" s="69"/>
      <c r="B43" s="69"/>
      <c r="C43" s="17" t="s">
        <v>78</v>
      </c>
      <c r="D43" s="45">
        <v>1</v>
      </c>
      <c r="E43" s="45">
        <v>1</v>
      </c>
      <c r="F43" s="45">
        <v>1</v>
      </c>
      <c r="G43" s="45">
        <v>1</v>
      </c>
      <c r="H43" s="45">
        <v>2</v>
      </c>
      <c r="I43" s="45">
        <v>2</v>
      </c>
      <c r="J43" s="17"/>
    </row>
    <row r="44" spans="1:10" ht="15" customHeight="1" x14ac:dyDescent="0.4">
      <c r="A44" s="69"/>
      <c r="B44" s="69"/>
      <c r="C44" s="17" t="s">
        <v>83</v>
      </c>
      <c r="D44" s="45">
        <v>1</v>
      </c>
      <c r="E44" s="45">
        <v>1</v>
      </c>
      <c r="F44" s="45">
        <v>1</v>
      </c>
      <c r="G44" s="45">
        <v>1</v>
      </c>
      <c r="H44" s="45">
        <v>1</v>
      </c>
      <c r="I44" s="45">
        <v>2</v>
      </c>
      <c r="J44" s="17"/>
    </row>
    <row r="45" spans="1:10" ht="15" customHeight="1" x14ac:dyDescent="0.4">
      <c r="A45" s="69"/>
      <c r="B45" s="69"/>
      <c r="C45" s="17" t="s">
        <v>88</v>
      </c>
      <c r="D45" s="45">
        <v>1</v>
      </c>
      <c r="E45" s="45">
        <v>1</v>
      </c>
      <c r="F45" s="45">
        <v>1</v>
      </c>
      <c r="G45" s="45">
        <v>1</v>
      </c>
      <c r="H45" s="45">
        <v>2</v>
      </c>
      <c r="I45" s="45">
        <v>2</v>
      </c>
      <c r="J45" s="17"/>
    </row>
    <row r="46" spans="1:10" ht="15" customHeight="1" x14ac:dyDescent="0.4">
      <c r="A46" s="69"/>
      <c r="B46" s="69"/>
      <c r="C46" s="17" t="s">
        <v>68</v>
      </c>
      <c r="D46" s="45">
        <v>1</v>
      </c>
      <c r="E46" s="45">
        <v>1</v>
      </c>
      <c r="F46" s="45">
        <v>1</v>
      </c>
      <c r="G46" s="45">
        <v>2</v>
      </c>
      <c r="H46" s="45">
        <v>2</v>
      </c>
      <c r="I46" s="45">
        <v>2</v>
      </c>
      <c r="J46" s="17"/>
    </row>
    <row r="47" spans="1:10" ht="15" customHeight="1" x14ac:dyDescent="0.4">
      <c r="A47" s="69"/>
      <c r="B47" s="69"/>
      <c r="C47" s="17" t="s">
        <v>97</v>
      </c>
      <c r="D47" s="45">
        <v>1</v>
      </c>
      <c r="E47" s="45">
        <v>1</v>
      </c>
      <c r="F47" s="45">
        <v>2</v>
      </c>
      <c r="G47" s="45">
        <v>2</v>
      </c>
      <c r="H47" s="45">
        <v>3</v>
      </c>
      <c r="I47" s="45">
        <v>3</v>
      </c>
      <c r="J47" s="17"/>
    </row>
    <row r="48" spans="1:10" x14ac:dyDescent="0.4">
      <c r="A48" s="69"/>
      <c r="B48" s="69"/>
      <c r="C48" s="46" t="s">
        <v>111</v>
      </c>
      <c r="D48" s="47">
        <f t="shared" ref="D48:I48" si="4">MAX(D42:D47)</f>
        <v>1</v>
      </c>
      <c r="E48" s="47">
        <f t="shared" si="4"/>
        <v>1</v>
      </c>
      <c r="F48" s="47">
        <f t="shared" si="4"/>
        <v>2</v>
      </c>
      <c r="G48" s="47">
        <f t="shared" si="4"/>
        <v>2</v>
      </c>
      <c r="H48" s="47">
        <f t="shared" si="4"/>
        <v>3</v>
      </c>
      <c r="I48" s="47">
        <f t="shared" si="4"/>
        <v>3</v>
      </c>
      <c r="J48" s="48"/>
    </row>
    <row r="50" spans="1:10" ht="15" customHeight="1" x14ac:dyDescent="0.4">
      <c r="A50" s="69">
        <v>6</v>
      </c>
      <c r="B50" s="70"/>
      <c r="C50" s="17" t="s">
        <v>73</v>
      </c>
      <c r="D50" s="45">
        <v>1</v>
      </c>
      <c r="E50" s="45">
        <v>1</v>
      </c>
      <c r="F50" s="45">
        <v>1</v>
      </c>
      <c r="G50" s="45">
        <v>1</v>
      </c>
      <c r="H50" s="45">
        <v>1</v>
      </c>
      <c r="I50" s="45">
        <v>1</v>
      </c>
      <c r="J50" s="17"/>
    </row>
    <row r="51" spans="1:10" ht="15" customHeight="1" x14ac:dyDescent="0.4">
      <c r="A51" s="69"/>
      <c r="B51" s="69"/>
      <c r="C51" s="17" t="s">
        <v>78</v>
      </c>
      <c r="D51" s="45">
        <v>1</v>
      </c>
      <c r="E51" s="45">
        <v>1</v>
      </c>
      <c r="F51" s="45">
        <v>1</v>
      </c>
      <c r="G51" s="45">
        <v>1</v>
      </c>
      <c r="H51" s="45">
        <v>1</v>
      </c>
      <c r="I51" s="45">
        <v>2</v>
      </c>
      <c r="J51" s="17"/>
    </row>
    <row r="52" spans="1:10" ht="15" customHeight="1" x14ac:dyDescent="0.4">
      <c r="A52" s="69"/>
      <c r="B52" s="69"/>
      <c r="C52" s="17" t="s">
        <v>83</v>
      </c>
      <c r="D52" s="45">
        <v>1</v>
      </c>
      <c r="E52" s="45">
        <v>1</v>
      </c>
      <c r="F52" s="45">
        <v>1</v>
      </c>
      <c r="G52" s="45">
        <v>1</v>
      </c>
      <c r="H52" s="45">
        <v>1</v>
      </c>
      <c r="I52" s="45">
        <v>2</v>
      </c>
      <c r="J52" s="17"/>
    </row>
    <row r="53" spans="1:10" ht="15" customHeight="1" x14ac:dyDescent="0.4">
      <c r="A53" s="69"/>
      <c r="B53" s="69"/>
      <c r="C53" s="17" t="s">
        <v>88</v>
      </c>
      <c r="D53" s="45">
        <v>1</v>
      </c>
      <c r="E53" s="45">
        <v>1</v>
      </c>
      <c r="F53" s="45">
        <v>1</v>
      </c>
      <c r="G53" s="45">
        <v>1</v>
      </c>
      <c r="H53" s="45">
        <v>2</v>
      </c>
      <c r="I53" s="45">
        <v>2</v>
      </c>
      <c r="J53" s="17"/>
    </row>
    <row r="54" spans="1:10" ht="15" customHeight="1" x14ac:dyDescent="0.4">
      <c r="A54" s="69"/>
      <c r="B54" s="69"/>
      <c r="C54" s="17" t="s">
        <v>68</v>
      </c>
      <c r="D54" s="45">
        <v>1</v>
      </c>
      <c r="E54" s="45">
        <v>1</v>
      </c>
      <c r="F54" s="45">
        <v>1</v>
      </c>
      <c r="G54" s="45">
        <v>1</v>
      </c>
      <c r="H54" s="45">
        <v>1</v>
      </c>
      <c r="I54" s="45">
        <v>1</v>
      </c>
      <c r="J54" s="17"/>
    </row>
    <row r="55" spans="1:10" ht="15" customHeight="1" x14ac:dyDescent="0.4">
      <c r="A55" s="69"/>
      <c r="B55" s="69"/>
      <c r="C55" s="17" t="s">
        <v>97</v>
      </c>
      <c r="D55" s="45">
        <v>1</v>
      </c>
      <c r="E55" s="45">
        <v>1</v>
      </c>
      <c r="F55" s="45">
        <v>1</v>
      </c>
      <c r="G55" s="45">
        <v>2</v>
      </c>
      <c r="H55" s="45">
        <v>2</v>
      </c>
      <c r="I55" s="45">
        <v>3</v>
      </c>
      <c r="J55" s="17"/>
    </row>
    <row r="56" spans="1:10" x14ac:dyDescent="0.4">
      <c r="A56" s="69"/>
      <c r="B56" s="69"/>
      <c r="C56" s="46" t="s">
        <v>111</v>
      </c>
      <c r="D56" s="47">
        <f t="shared" ref="D56:I56" si="5">MAX(D50:D55)</f>
        <v>1</v>
      </c>
      <c r="E56" s="47">
        <f t="shared" si="5"/>
        <v>1</v>
      </c>
      <c r="F56" s="47">
        <f t="shared" si="5"/>
        <v>1</v>
      </c>
      <c r="G56" s="47">
        <f t="shared" si="5"/>
        <v>2</v>
      </c>
      <c r="H56" s="47">
        <f t="shared" si="5"/>
        <v>2</v>
      </c>
      <c r="I56" s="47">
        <f t="shared" si="5"/>
        <v>3</v>
      </c>
      <c r="J56" s="48"/>
    </row>
  </sheetData>
  <mergeCells count="13">
    <mergeCell ref="A1:J1"/>
    <mergeCell ref="A10:A16"/>
    <mergeCell ref="B10:B16"/>
    <mergeCell ref="A18:A24"/>
    <mergeCell ref="B18:B24"/>
    <mergeCell ref="A50:A56"/>
    <mergeCell ref="B50:B56"/>
    <mergeCell ref="A26:A32"/>
    <mergeCell ref="B26:B32"/>
    <mergeCell ref="A34:A40"/>
    <mergeCell ref="B34:B40"/>
    <mergeCell ref="A42:A48"/>
    <mergeCell ref="B42:B48"/>
  </mergeCells>
  <conditionalFormatting sqref="D10:I57">
    <cfRule type="cellIs" dxfId="18" priority="1" operator="equal">
      <formula>1</formula>
    </cfRule>
    <cfRule type="cellIs" dxfId="17" priority="2" operator="equal">
      <formula>2</formula>
    </cfRule>
    <cfRule type="cellIs" dxfId="16" priority="3" operator="equal">
      <formula>3</formula>
    </cfRule>
    <cfRule type="cellIs" dxfId="15" priority="4" operator="equal">
      <formula>4</formula>
    </cfRule>
  </conditionalFormatting>
  <dataValidations count="1">
    <dataValidation type="whole" showErrorMessage="1" errorTitle="Skala 1–4" error="Wpisz wartość od 1 (niski) do 4 (krytyczny)." sqref="D10:I57" xr:uid="{35542524-8FE5-4794-BF3B-318647D629CE}">
      <formula1>1</formula1>
      <formula2>4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FC3A-8E93-496F-B84F-CC8048AFEBB3}">
  <dimension ref="A1:O22"/>
  <sheetViews>
    <sheetView workbookViewId="0">
      <selection activeCell="B11" sqref="B11"/>
    </sheetView>
  </sheetViews>
  <sheetFormatPr defaultRowHeight="14.6" x14ac:dyDescent="0.4"/>
  <cols>
    <col min="2" max="2" width="26.921875" customWidth="1"/>
    <col min="3" max="3" width="57.765625" customWidth="1"/>
    <col min="4" max="4" width="15.07421875" customWidth="1"/>
    <col min="5" max="5" width="12.53515625" customWidth="1"/>
    <col min="6" max="6" width="27" customWidth="1"/>
    <col min="10" max="10" width="17.3828125" customWidth="1"/>
    <col min="11" max="11" width="25.3046875" customWidth="1"/>
    <col min="12" max="12" width="24" customWidth="1"/>
    <col min="13" max="13" width="15.15234375" customWidth="1"/>
    <col min="14" max="14" width="34.4609375" customWidth="1"/>
    <col min="15" max="15" width="16.4609375" customWidth="1"/>
  </cols>
  <sheetData>
    <row r="1" spans="1:15" ht="18.45" x14ac:dyDescent="0.4">
      <c r="A1" s="68" t="s">
        <v>221</v>
      </c>
      <c r="B1" s="68"/>
      <c r="C1" s="68"/>
      <c r="D1" s="68"/>
      <c r="E1" s="68"/>
      <c r="F1" s="68"/>
      <c r="G1" s="68"/>
      <c r="H1" s="68"/>
      <c r="I1" s="68"/>
      <c r="J1" s="68"/>
    </row>
    <row r="2" spans="1:15" ht="15" thickBot="1" x14ac:dyDescent="0.45"/>
    <row r="3" spans="1:15" x14ac:dyDescent="0.4">
      <c r="B3" s="10" t="s">
        <v>11</v>
      </c>
      <c r="C3" s="6" t="s">
        <v>12</v>
      </c>
    </row>
    <row r="4" spans="1:15" x14ac:dyDescent="0.4">
      <c r="B4" s="11" t="s">
        <v>13</v>
      </c>
      <c r="C4" s="7" t="s">
        <v>14</v>
      </c>
    </row>
    <row r="5" spans="1:15" x14ac:dyDescent="0.4">
      <c r="B5" s="11" t="s">
        <v>15</v>
      </c>
      <c r="C5" s="8">
        <v>46308</v>
      </c>
    </row>
    <row r="6" spans="1:15" ht="15" thickBot="1" x14ac:dyDescent="0.45">
      <c r="B6" s="12" t="s">
        <v>16</v>
      </c>
      <c r="C6" s="9">
        <v>46308</v>
      </c>
    </row>
    <row r="10" spans="1:15" ht="25.75" x14ac:dyDescent="0.4">
      <c r="A10" s="49" t="s">
        <v>114</v>
      </c>
      <c r="B10" s="49" t="s">
        <v>115</v>
      </c>
      <c r="C10" s="49" t="s">
        <v>116</v>
      </c>
      <c r="D10" s="49" t="s">
        <v>117</v>
      </c>
      <c r="E10" s="49" t="s">
        <v>118</v>
      </c>
      <c r="F10" s="49" t="s">
        <v>119</v>
      </c>
      <c r="G10" s="49" t="s">
        <v>120</v>
      </c>
      <c r="H10" s="49" t="s">
        <v>121</v>
      </c>
      <c r="I10" s="49" t="s">
        <v>122</v>
      </c>
      <c r="J10" s="49" t="s">
        <v>123</v>
      </c>
      <c r="K10" s="49" t="s">
        <v>124</v>
      </c>
      <c r="L10" s="49" t="s">
        <v>125</v>
      </c>
      <c r="M10" s="49" t="s">
        <v>126</v>
      </c>
      <c r="N10" s="49" t="s">
        <v>127</v>
      </c>
      <c r="O10" s="49" t="s">
        <v>4</v>
      </c>
    </row>
    <row r="11" spans="1:15" x14ac:dyDescent="0.4">
      <c r="A11" s="52" t="s">
        <v>128</v>
      </c>
      <c r="B11" s="25" t="s">
        <v>220</v>
      </c>
      <c r="C11" s="17"/>
      <c r="D11" s="17" t="s">
        <v>129</v>
      </c>
      <c r="E11" s="16" t="s">
        <v>130</v>
      </c>
      <c r="F11" s="17"/>
      <c r="G11" s="16" t="s">
        <v>131</v>
      </c>
      <c r="H11" s="16" t="s">
        <v>131</v>
      </c>
      <c r="I11" s="16" t="s">
        <v>131</v>
      </c>
      <c r="J11" s="17"/>
      <c r="K11" s="17"/>
      <c r="L11" s="17"/>
      <c r="M11" s="16"/>
      <c r="N11" s="17"/>
      <c r="O11" s="53"/>
    </row>
    <row r="12" spans="1:15" x14ac:dyDescent="0.4">
      <c r="A12" s="52" t="s">
        <v>132</v>
      </c>
      <c r="B12" s="25"/>
      <c r="C12" s="17"/>
      <c r="D12" s="17"/>
      <c r="E12" s="16" t="s">
        <v>130</v>
      </c>
      <c r="F12" s="17"/>
      <c r="G12" s="16" t="s">
        <v>131</v>
      </c>
      <c r="H12" s="16" t="s">
        <v>131</v>
      </c>
      <c r="I12" s="16" t="s">
        <v>133</v>
      </c>
      <c r="J12" s="17"/>
      <c r="K12" s="17"/>
      <c r="L12" s="17"/>
      <c r="M12" s="16"/>
      <c r="N12" s="17"/>
      <c r="O12" s="53"/>
    </row>
    <row r="13" spans="1:15" x14ac:dyDescent="0.4">
      <c r="A13" s="52" t="s">
        <v>134</v>
      </c>
      <c r="B13" s="25"/>
      <c r="C13" s="17"/>
      <c r="D13" s="17"/>
      <c r="E13" s="16" t="s">
        <v>136</v>
      </c>
      <c r="F13" s="17"/>
      <c r="G13" s="16" t="s">
        <v>137</v>
      </c>
      <c r="H13" s="16" t="s">
        <v>131</v>
      </c>
      <c r="I13" s="16" t="s">
        <v>133</v>
      </c>
      <c r="J13" s="17"/>
      <c r="K13" s="17"/>
      <c r="L13" s="17"/>
      <c r="M13" s="16"/>
      <c r="N13" s="17"/>
      <c r="O13" s="53"/>
    </row>
    <row r="14" spans="1:15" ht="25.75" x14ac:dyDescent="0.4">
      <c r="A14" s="52" t="s">
        <v>135</v>
      </c>
      <c r="B14" s="25"/>
      <c r="C14" s="17"/>
      <c r="D14" s="17"/>
      <c r="E14" s="16" t="s">
        <v>139</v>
      </c>
      <c r="F14" s="17"/>
      <c r="G14" s="16" t="s">
        <v>133</v>
      </c>
      <c r="H14" s="16" t="s">
        <v>133</v>
      </c>
      <c r="I14" s="16" t="s">
        <v>133</v>
      </c>
      <c r="J14" s="17"/>
      <c r="K14" s="17"/>
      <c r="L14" s="17"/>
      <c r="M14" s="16"/>
      <c r="N14" s="17"/>
      <c r="O14" s="53"/>
    </row>
    <row r="15" spans="1:15" x14ac:dyDescent="0.4">
      <c r="A15" s="52" t="s">
        <v>138</v>
      </c>
      <c r="B15" s="25"/>
      <c r="C15" s="17"/>
      <c r="D15" s="17"/>
      <c r="E15" s="16" t="s">
        <v>130</v>
      </c>
      <c r="F15" s="17"/>
      <c r="G15" s="16" t="s">
        <v>131</v>
      </c>
      <c r="H15" s="16" t="s">
        <v>131</v>
      </c>
      <c r="I15" s="16" t="s">
        <v>131</v>
      </c>
      <c r="J15" s="17"/>
      <c r="K15" s="17"/>
      <c r="L15" s="17"/>
      <c r="M15" s="16"/>
      <c r="N15" s="17"/>
      <c r="O15" s="53"/>
    </row>
    <row r="16" spans="1:15" x14ac:dyDescent="0.4">
      <c r="A16" s="52" t="s">
        <v>140</v>
      </c>
      <c r="B16" s="25"/>
      <c r="C16" s="17"/>
      <c r="D16" s="17"/>
      <c r="E16" s="16" t="s">
        <v>130</v>
      </c>
      <c r="F16" s="17"/>
      <c r="G16" s="16" t="s">
        <v>131</v>
      </c>
      <c r="H16" s="16" t="s">
        <v>133</v>
      </c>
      <c r="I16" s="16" t="s">
        <v>133</v>
      </c>
      <c r="J16" s="17"/>
      <c r="K16" s="17"/>
      <c r="L16" s="17"/>
      <c r="M16" s="16"/>
      <c r="N16" s="17"/>
      <c r="O16" s="53"/>
    </row>
    <row r="17" spans="1:15" x14ac:dyDescent="0.4">
      <c r="A17" s="52" t="s">
        <v>141</v>
      </c>
      <c r="B17" s="25"/>
      <c r="C17" s="17"/>
      <c r="D17" s="17"/>
      <c r="E17" s="16" t="s">
        <v>136</v>
      </c>
      <c r="F17" s="17"/>
      <c r="G17" s="16" t="s">
        <v>137</v>
      </c>
      <c r="H17" s="16" t="s">
        <v>137</v>
      </c>
      <c r="I17" s="16" t="s">
        <v>137</v>
      </c>
      <c r="J17" s="17"/>
      <c r="K17" s="17"/>
      <c r="L17" s="17"/>
      <c r="M17" s="16"/>
      <c r="N17" s="17"/>
      <c r="O17" s="53"/>
    </row>
    <row r="18" spans="1:15" x14ac:dyDescent="0.4">
      <c r="A18" s="52" t="s">
        <v>142</v>
      </c>
      <c r="B18" s="25"/>
      <c r="C18" s="17"/>
      <c r="D18" s="17"/>
      <c r="E18" s="16" t="s">
        <v>130</v>
      </c>
      <c r="F18" s="17"/>
      <c r="G18" s="16" t="s">
        <v>131</v>
      </c>
      <c r="H18" s="16" t="s">
        <v>133</v>
      </c>
      <c r="I18" s="16" t="s">
        <v>131</v>
      </c>
      <c r="J18" s="17"/>
      <c r="K18" s="17"/>
      <c r="L18" s="17"/>
      <c r="M18" s="16"/>
      <c r="N18" s="17"/>
      <c r="O18" s="53"/>
    </row>
    <row r="19" spans="1:15" ht="45" customHeight="1" x14ac:dyDescent="0.4">
      <c r="A19" s="52" t="s">
        <v>144</v>
      </c>
      <c r="B19" s="25"/>
      <c r="C19" s="17"/>
      <c r="D19" s="17"/>
      <c r="E19" s="16" t="s">
        <v>130</v>
      </c>
      <c r="F19" s="17"/>
      <c r="G19" s="16" t="s">
        <v>131</v>
      </c>
      <c r="H19" s="16" t="s">
        <v>131</v>
      </c>
      <c r="I19" s="16" t="s">
        <v>131</v>
      </c>
      <c r="J19" s="17"/>
      <c r="K19" s="17"/>
      <c r="L19" s="17"/>
      <c r="M19" s="16"/>
      <c r="N19" s="17"/>
      <c r="O19" s="53"/>
    </row>
    <row r="20" spans="1:15" x14ac:dyDescent="0.4">
      <c r="A20" s="52" t="s">
        <v>145</v>
      </c>
      <c r="B20" s="25"/>
      <c r="C20" s="17"/>
      <c r="D20" s="17"/>
      <c r="E20" s="16" t="s">
        <v>130</v>
      </c>
      <c r="F20" s="17"/>
      <c r="G20" s="16" t="s">
        <v>133</v>
      </c>
      <c r="H20" s="16" t="s">
        <v>131</v>
      </c>
      <c r="I20" s="16" t="s">
        <v>131</v>
      </c>
      <c r="J20" s="17"/>
      <c r="K20" s="17"/>
      <c r="L20" s="17"/>
      <c r="M20" s="16"/>
      <c r="N20" s="17"/>
      <c r="O20" s="53"/>
    </row>
    <row r="21" spans="1:15" ht="25.75" x14ac:dyDescent="0.4">
      <c r="A21" s="54" t="s">
        <v>146</v>
      </c>
      <c r="B21" s="55"/>
      <c r="C21" s="56"/>
      <c r="D21" s="56"/>
      <c r="E21" s="57" t="s">
        <v>139</v>
      </c>
      <c r="F21" s="56"/>
      <c r="G21" s="57" t="s">
        <v>137</v>
      </c>
      <c r="H21" s="57" t="s">
        <v>133</v>
      </c>
      <c r="I21" s="57" t="s">
        <v>133</v>
      </c>
      <c r="J21" s="56"/>
      <c r="K21" s="56"/>
      <c r="L21" s="56"/>
      <c r="M21" s="57"/>
      <c r="N21" s="56"/>
      <c r="O21" s="58"/>
    </row>
    <row r="22" spans="1:15" x14ac:dyDescent="0.4">
      <c r="A22" s="59" t="s">
        <v>147</v>
      </c>
      <c r="B22" s="60"/>
      <c r="C22" s="20"/>
      <c r="D22" s="20"/>
      <c r="E22" s="18" t="s">
        <v>130</v>
      </c>
      <c r="F22" s="61"/>
      <c r="G22" s="18" t="s">
        <v>131</v>
      </c>
      <c r="H22" s="18" t="s">
        <v>133</v>
      </c>
      <c r="I22" s="18" t="s">
        <v>133</v>
      </c>
      <c r="J22" s="20"/>
      <c r="K22" s="61"/>
      <c r="L22" s="61"/>
      <c r="M22" s="18"/>
      <c r="N22" s="61"/>
      <c r="O22" s="58"/>
    </row>
  </sheetData>
  <mergeCells count="1">
    <mergeCell ref="A1:J1"/>
  </mergeCells>
  <phoneticPr fontId="24" type="noConversion"/>
  <conditionalFormatting sqref="E11:E22">
    <cfRule type="cellIs" dxfId="14" priority="10" operator="equal">
      <formula>"Publiczne"</formula>
    </cfRule>
    <cfRule type="cellIs" dxfId="13" priority="11" operator="equal">
      <formula>"Do użytku wewnętrznego"</formula>
    </cfRule>
    <cfRule type="cellIs" dxfId="12" priority="12" operator="equal">
      <formula>"Chronione"</formula>
    </cfRule>
  </conditionalFormatting>
  <conditionalFormatting sqref="G11:I22">
    <cfRule type="cellIs" dxfId="11" priority="1" operator="equal">
      <formula>"Wysoka"</formula>
    </cfRule>
    <cfRule type="cellIs" dxfId="10" priority="2" operator="equal">
      <formula>"Średnia"</formula>
    </cfRule>
    <cfRule type="cellIs" dxfId="9" priority="3" operator="equal">
      <formula>"Niska"</formula>
    </cfRule>
  </conditionalFormatting>
  <dataValidations count="2">
    <dataValidation type="list" sqref="G11:I22" xr:uid="{D3FFBD41-0F19-4FE3-BC50-6294847BDC35}">
      <formula1>"Niska,Średnia,Wysoka"</formula1>
      <formula2>0</formula2>
    </dataValidation>
    <dataValidation type="list" sqref="E11:E22" xr:uid="{131BB31E-0EDE-42CD-994E-64D40424C1EB}">
      <formula1>"Publiczne,Do użytku wewnętrznego,Chronione"</formula1>
      <formula2>0</formula2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11E3-09BF-4219-AD40-EBAB1DB4261A}">
  <dimension ref="A1:K64"/>
  <sheetViews>
    <sheetView workbookViewId="0">
      <selection activeCell="D11" sqref="D11"/>
    </sheetView>
  </sheetViews>
  <sheetFormatPr defaultColWidth="8.69140625" defaultRowHeight="14.6" x14ac:dyDescent="0.4"/>
  <cols>
    <col min="1" max="1" width="6" customWidth="1"/>
    <col min="2" max="2" width="18" customWidth="1"/>
    <col min="3" max="3" width="32" customWidth="1"/>
    <col min="4" max="4" width="28" customWidth="1"/>
    <col min="5" max="5" width="18" customWidth="1"/>
    <col min="6" max="6" width="14" customWidth="1"/>
    <col min="7" max="7" width="18" customWidth="1"/>
    <col min="8" max="8" width="14" customWidth="1"/>
    <col min="9" max="9" width="22" customWidth="1"/>
    <col min="10" max="10" width="16" customWidth="1"/>
    <col min="11" max="11" width="14.3046875" customWidth="1"/>
  </cols>
  <sheetData>
    <row r="1" spans="1:11" ht="25.5" customHeight="1" x14ac:dyDescent="0.5">
      <c r="A1" s="65" t="s">
        <v>222</v>
      </c>
      <c r="B1" s="65"/>
      <c r="C1" s="65"/>
      <c r="D1" s="65"/>
      <c r="E1" s="65"/>
      <c r="F1" s="65"/>
      <c r="G1" s="65"/>
      <c r="H1" s="65"/>
      <c r="I1" s="65"/>
      <c r="J1" s="65"/>
      <c r="K1" s="65"/>
    </row>
    <row r="2" spans="1:11" ht="25.5" customHeight="1" thickBot="1" x14ac:dyDescent="0.55000000000000004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</row>
    <row r="3" spans="1:11" ht="18.45" x14ac:dyDescent="0.5">
      <c r="A3" s="51"/>
      <c r="B3" s="10" t="s">
        <v>11</v>
      </c>
      <c r="C3" s="6" t="s">
        <v>12</v>
      </c>
      <c r="D3" s="51"/>
      <c r="E3" s="51"/>
      <c r="F3" s="51"/>
      <c r="G3" s="51"/>
      <c r="H3" s="51"/>
      <c r="I3" s="51"/>
      <c r="J3" s="51"/>
      <c r="K3" s="51"/>
    </row>
    <row r="4" spans="1:11" ht="18.45" x14ac:dyDescent="0.5">
      <c r="A4" s="51"/>
      <c r="B4" s="11" t="s">
        <v>13</v>
      </c>
      <c r="C4" s="7" t="s">
        <v>14</v>
      </c>
      <c r="D4" s="51"/>
      <c r="E4" s="51"/>
      <c r="F4" s="51"/>
      <c r="G4" s="51"/>
      <c r="H4" s="51"/>
      <c r="I4" s="51"/>
      <c r="J4" s="51"/>
      <c r="K4" s="51"/>
    </row>
    <row r="5" spans="1:11" ht="18.45" x14ac:dyDescent="0.5">
      <c r="A5" s="51"/>
      <c r="B5" s="11" t="s">
        <v>15</v>
      </c>
      <c r="C5" s="8">
        <v>46308</v>
      </c>
      <c r="D5" s="51"/>
      <c r="E5" s="51"/>
      <c r="F5" s="51"/>
      <c r="G5" s="51"/>
      <c r="H5" s="51"/>
      <c r="I5" s="51"/>
      <c r="J5" s="51"/>
      <c r="K5" s="51"/>
    </row>
    <row r="6" spans="1:11" ht="15" thickBot="1" x14ac:dyDescent="0.45">
      <c r="B6" s="12" t="s">
        <v>16</v>
      </c>
      <c r="C6" s="9">
        <v>46308</v>
      </c>
    </row>
    <row r="7" spans="1:11" x14ac:dyDescent="0.4">
      <c r="B7" s="64"/>
      <c r="C7" s="63"/>
    </row>
    <row r="8" spans="1:11" ht="31.5" customHeight="1" x14ac:dyDescent="0.4">
      <c r="A8" s="49" t="s">
        <v>114</v>
      </c>
      <c r="B8" s="49" t="s">
        <v>148</v>
      </c>
      <c r="C8" s="49" t="s">
        <v>149</v>
      </c>
      <c r="D8" s="49" t="s">
        <v>150</v>
      </c>
      <c r="E8" s="49" t="s">
        <v>151</v>
      </c>
      <c r="F8" s="49" t="s">
        <v>152</v>
      </c>
      <c r="G8" s="49" t="s">
        <v>153</v>
      </c>
      <c r="H8" s="49" t="s">
        <v>154</v>
      </c>
      <c r="I8" s="49" t="s">
        <v>155</v>
      </c>
      <c r="J8" s="49" t="s">
        <v>156</v>
      </c>
      <c r="K8" s="49" t="s">
        <v>126</v>
      </c>
    </row>
    <row r="9" spans="1:11" ht="27.75" customHeight="1" x14ac:dyDescent="0.4">
      <c r="A9" s="52" t="s">
        <v>157</v>
      </c>
      <c r="B9" s="17"/>
      <c r="C9" s="17"/>
      <c r="D9" s="17"/>
      <c r="E9" s="17"/>
      <c r="F9" s="17"/>
      <c r="G9" s="17"/>
      <c r="H9" s="16"/>
      <c r="I9" s="17"/>
      <c r="J9" s="16"/>
      <c r="K9" s="16"/>
    </row>
    <row r="10" spans="1:11" ht="27.75" customHeight="1" x14ac:dyDescent="0.4">
      <c r="A10" s="52" t="s">
        <v>158</v>
      </c>
      <c r="B10" s="17"/>
      <c r="C10" s="17"/>
      <c r="D10" s="17"/>
      <c r="E10" s="17"/>
      <c r="F10" s="17"/>
      <c r="G10" s="17"/>
      <c r="H10" s="16"/>
      <c r="I10" s="17"/>
      <c r="J10" s="16"/>
      <c r="K10" s="16"/>
    </row>
    <row r="11" spans="1:11" ht="27.75" customHeight="1" x14ac:dyDescent="0.4">
      <c r="A11" s="52" t="s">
        <v>159</v>
      </c>
      <c r="B11" s="17"/>
      <c r="C11" s="17"/>
      <c r="D11" s="17"/>
      <c r="E11" s="17"/>
      <c r="F11" s="17"/>
      <c r="G11" s="17"/>
      <c r="H11" s="16"/>
      <c r="I11" s="17"/>
      <c r="J11" s="16"/>
      <c r="K11" s="16"/>
    </row>
    <row r="12" spans="1:11" ht="27.75" customHeight="1" x14ac:dyDescent="0.4">
      <c r="A12" s="52" t="s">
        <v>160</v>
      </c>
      <c r="B12" s="17"/>
      <c r="C12" s="17"/>
      <c r="D12" s="17"/>
      <c r="E12" s="17"/>
      <c r="F12" s="17"/>
      <c r="G12" s="17"/>
      <c r="H12" s="16"/>
      <c r="I12" s="17"/>
      <c r="J12" s="16"/>
      <c r="K12" s="16"/>
    </row>
    <row r="13" spans="1:11" ht="27.75" customHeight="1" x14ac:dyDescent="0.4">
      <c r="A13" s="52" t="s">
        <v>161</v>
      </c>
      <c r="B13" s="17"/>
      <c r="C13" s="17"/>
      <c r="D13" s="17"/>
      <c r="E13" s="17"/>
      <c r="F13" s="17"/>
      <c r="G13" s="17"/>
      <c r="H13" s="16"/>
      <c r="I13" s="17"/>
      <c r="J13" s="16"/>
      <c r="K13" s="16"/>
    </row>
    <row r="14" spans="1:11" ht="27.75" customHeight="1" x14ac:dyDescent="0.4">
      <c r="A14" s="52" t="s">
        <v>162</v>
      </c>
      <c r="B14" s="17"/>
      <c r="C14" s="17"/>
      <c r="D14" s="17"/>
      <c r="E14" s="17"/>
      <c r="F14" s="17"/>
      <c r="G14" s="17"/>
      <c r="H14" s="16"/>
      <c r="I14" s="17"/>
      <c r="J14" s="16"/>
      <c r="K14" s="16"/>
    </row>
    <row r="15" spans="1:11" ht="27.75" customHeight="1" x14ac:dyDescent="0.4">
      <c r="A15" s="52" t="s">
        <v>163</v>
      </c>
      <c r="B15" s="17"/>
      <c r="C15" s="17"/>
      <c r="D15" s="17"/>
      <c r="E15" s="17"/>
      <c r="F15" s="17"/>
      <c r="G15" s="17"/>
      <c r="H15" s="16"/>
      <c r="I15" s="17"/>
      <c r="J15" s="16"/>
      <c r="K15" s="16"/>
    </row>
    <row r="16" spans="1:11" ht="40.5" customHeight="1" x14ac:dyDescent="0.4">
      <c r="A16" s="52" t="s">
        <v>164</v>
      </c>
      <c r="B16" s="17"/>
      <c r="C16" s="17"/>
      <c r="D16" s="17"/>
      <c r="E16" s="17"/>
      <c r="F16" s="17"/>
      <c r="G16" s="17"/>
      <c r="H16" s="16"/>
      <c r="I16" s="17"/>
      <c r="J16" s="16"/>
      <c r="K16" s="16"/>
    </row>
    <row r="17" spans="1:11" ht="27.75" customHeight="1" x14ac:dyDescent="0.4">
      <c r="A17" s="52" t="s">
        <v>165</v>
      </c>
      <c r="B17" s="17"/>
      <c r="C17" s="17"/>
      <c r="D17" s="17"/>
      <c r="E17" s="17"/>
      <c r="F17" s="17"/>
      <c r="G17" s="17"/>
      <c r="H17" s="16"/>
      <c r="I17" s="17"/>
      <c r="J17" s="16"/>
      <c r="K17" s="16"/>
    </row>
    <row r="18" spans="1:11" ht="27.75" customHeight="1" x14ac:dyDescent="0.4">
      <c r="A18" s="52" t="s">
        <v>166</v>
      </c>
      <c r="B18" s="17"/>
      <c r="C18" s="17"/>
      <c r="D18" s="17"/>
      <c r="E18" s="17"/>
      <c r="F18" s="17"/>
      <c r="G18" s="17"/>
      <c r="H18" s="16"/>
      <c r="I18" s="17"/>
      <c r="J18" s="16"/>
      <c r="K18" s="16"/>
    </row>
    <row r="19" spans="1:11" ht="40.5" customHeight="1" x14ac:dyDescent="0.4">
      <c r="A19" s="52" t="s">
        <v>167</v>
      </c>
      <c r="B19" s="17"/>
      <c r="C19" s="17"/>
      <c r="D19" s="17"/>
      <c r="E19" s="17"/>
      <c r="F19" s="17"/>
      <c r="G19" s="17"/>
      <c r="H19" s="16"/>
      <c r="I19" s="17"/>
      <c r="J19" s="16"/>
      <c r="K19" s="16"/>
    </row>
    <row r="20" spans="1:11" ht="27.75" customHeight="1" x14ac:dyDescent="0.4">
      <c r="A20" s="52" t="s">
        <v>168</v>
      </c>
      <c r="B20" s="17"/>
      <c r="C20" s="17"/>
      <c r="D20" s="17"/>
      <c r="E20" s="17"/>
      <c r="F20" s="17"/>
      <c r="G20" s="17"/>
      <c r="H20" s="16"/>
      <c r="I20" s="17"/>
      <c r="J20" s="16"/>
      <c r="K20" s="16"/>
    </row>
    <row r="21" spans="1:11" ht="27.75" customHeight="1" x14ac:dyDescent="0.4">
      <c r="A21" s="52" t="s">
        <v>169</v>
      </c>
      <c r="B21" s="17"/>
      <c r="C21" s="17"/>
      <c r="D21" s="17"/>
      <c r="E21" s="17"/>
      <c r="F21" s="17"/>
      <c r="G21" s="17"/>
      <c r="H21" s="16"/>
      <c r="I21" s="17"/>
      <c r="J21" s="16"/>
      <c r="K21" s="16"/>
    </row>
    <row r="22" spans="1:11" ht="27.75" customHeight="1" x14ac:dyDescent="0.4">
      <c r="A22" s="52" t="s">
        <v>170</v>
      </c>
      <c r="B22" s="17"/>
      <c r="C22" s="17"/>
      <c r="D22" s="17"/>
      <c r="E22" s="17"/>
      <c r="F22" s="17"/>
      <c r="G22" s="17"/>
      <c r="H22" s="16"/>
      <c r="I22" s="17"/>
      <c r="J22" s="16"/>
      <c r="K22" s="16"/>
    </row>
    <row r="23" spans="1:11" ht="27.75" customHeight="1" x14ac:dyDescent="0.4">
      <c r="A23" s="52" t="s">
        <v>171</v>
      </c>
      <c r="B23" s="17"/>
      <c r="C23" s="17"/>
      <c r="D23" s="17"/>
      <c r="E23" s="17"/>
      <c r="F23" s="17"/>
      <c r="G23" s="17"/>
      <c r="H23" s="16"/>
      <c r="I23" s="17"/>
      <c r="J23" s="16"/>
      <c r="K23" s="16"/>
    </row>
    <row r="24" spans="1:11" ht="27.75" customHeight="1" x14ac:dyDescent="0.4">
      <c r="A24" s="52" t="s">
        <v>172</v>
      </c>
      <c r="B24" s="17"/>
      <c r="C24" s="17"/>
      <c r="D24" s="17"/>
      <c r="E24" s="17"/>
      <c r="F24" s="17"/>
      <c r="G24" s="17"/>
      <c r="H24" s="16"/>
      <c r="I24" s="17"/>
      <c r="J24" s="16"/>
      <c r="K24" s="16"/>
    </row>
    <row r="25" spans="1:11" ht="27.75" customHeight="1" x14ac:dyDescent="0.4">
      <c r="A25" s="52" t="s">
        <v>173</v>
      </c>
      <c r="B25" s="17"/>
      <c r="C25" s="17"/>
      <c r="D25" s="17"/>
      <c r="E25" s="17"/>
      <c r="F25" s="17"/>
      <c r="G25" s="17"/>
      <c r="H25" s="16"/>
      <c r="I25" s="17"/>
      <c r="J25" s="16"/>
      <c r="K25" s="16"/>
    </row>
    <row r="26" spans="1:11" ht="27.75" customHeight="1" x14ac:dyDescent="0.4">
      <c r="A26" s="52" t="s">
        <v>174</v>
      </c>
      <c r="B26" s="17"/>
      <c r="C26" s="17"/>
      <c r="D26" s="17"/>
      <c r="E26" s="17"/>
      <c r="F26" s="17"/>
      <c r="G26" s="17"/>
      <c r="H26" s="16"/>
      <c r="I26" s="17"/>
      <c r="J26" s="16"/>
      <c r="K26" s="16"/>
    </row>
    <row r="27" spans="1:11" ht="27.75" customHeight="1" x14ac:dyDescent="0.4">
      <c r="A27" s="52" t="s">
        <v>175</v>
      </c>
      <c r="B27" s="17"/>
      <c r="C27" s="17"/>
      <c r="D27" s="17"/>
      <c r="E27" s="17"/>
      <c r="F27" s="17"/>
      <c r="G27" s="17"/>
      <c r="H27" s="16"/>
      <c r="I27" s="17"/>
      <c r="J27" s="16"/>
      <c r="K27" s="16"/>
    </row>
    <row r="28" spans="1:11" ht="27.75" customHeight="1" x14ac:dyDescent="0.4">
      <c r="A28" s="52" t="s">
        <v>176</v>
      </c>
      <c r="B28" s="17"/>
      <c r="C28" s="17"/>
      <c r="D28" s="17"/>
      <c r="E28" s="17"/>
      <c r="F28" s="17"/>
      <c r="G28" s="17"/>
      <c r="H28" s="16"/>
      <c r="I28" s="17"/>
      <c r="J28" s="16"/>
      <c r="K28" s="16"/>
    </row>
    <row r="29" spans="1:11" ht="27.75" customHeight="1" x14ac:dyDescent="0.4">
      <c r="A29" s="52" t="s">
        <v>177</v>
      </c>
      <c r="B29" s="17"/>
      <c r="C29" s="17"/>
      <c r="D29" s="17"/>
      <c r="E29" s="17"/>
      <c r="F29" s="17"/>
      <c r="G29" s="17"/>
      <c r="H29" s="16"/>
      <c r="I29" s="17"/>
      <c r="J29" s="16"/>
      <c r="K29" s="16"/>
    </row>
    <row r="30" spans="1:11" ht="40.5" customHeight="1" x14ac:dyDescent="0.4">
      <c r="A30" s="52" t="s">
        <v>178</v>
      </c>
      <c r="B30" s="17"/>
      <c r="C30" s="17"/>
      <c r="D30" s="17"/>
      <c r="E30" s="17"/>
      <c r="F30" s="17"/>
      <c r="G30" s="17"/>
      <c r="H30" s="16"/>
      <c r="I30" s="17"/>
      <c r="J30" s="16"/>
      <c r="K30" s="16"/>
    </row>
    <row r="31" spans="1:11" ht="27.75" customHeight="1" x14ac:dyDescent="0.4">
      <c r="A31" s="52" t="s">
        <v>179</v>
      </c>
      <c r="B31" s="17"/>
      <c r="C31" s="17"/>
      <c r="D31" s="17"/>
      <c r="E31" s="17"/>
      <c r="F31" s="17"/>
      <c r="G31" s="17"/>
      <c r="H31" s="16"/>
      <c r="I31" s="17"/>
      <c r="J31" s="16"/>
      <c r="K31" s="16"/>
    </row>
    <row r="32" spans="1:11" ht="27.75" customHeight="1" x14ac:dyDescent="0.4">
      <c r="A32" s="52" t="s">
        <v>180</v>
      </c>
      <c r="B32" s="17"/>
      <c r="C32" s="17"/>
      <c r="D32" s="17"/>
      <c r="E32" s="17"/>
      <c r="F32" s="17"/>
      <c r="G32" s="17"/>
      <c r="H32" s="16"/>
      <c r="I32" s="17"/>
      <c r="J32" s="16"/>
      <c r="K32" s="16"/>
    </row>
    <row r="33" spans="1:11" ht="40.5" customHeight="1" x14ac:dyDescent="0.4">
      <c r="A33" s="52" t="s">
        <v>181</v>
      </c>
      <c r="B33" s="17"/>
      <c r="C33" s="17"/>
      <c r="D33" s="17"/>
      <c r="E33" s="17"/>
      <c r="F33" s="17"/>
      <c r="G33" s="17"/>
      <c r="H33" s="16"/>
      <c r="I33" s="17"/>
      <c r="J33" s="16"/>
      <c r="K33" s="16"/>
    </row>
    <row r="34" spans="1:11" ht="27.75" customHeight="1" x14ac:dyDescent="0.4">
      <c r="A34" s="52" t="s">
        <v>182</v>
      </c>
      <c r="B34" s="17"/>
      <c r="C34" s="17"/>
      <c r="D34" s="17"/>
      <c r="E34" s="17"/>
      <c r="F34" s="17"/>
      <c r="G34" s="17"/>
      <c r="H34" s="16"/>
      <c r="I34" s="17"/>
      <c r="J34" s="16"/>
      <c r="K34" s="16"/>
    </row>
    <row r="35" spans="1:11" ht="27.75" customHeight="1" x14ac:dyDescent="0.4">
      <c r="A35" s="52" t="s">
        <v>183</v>
      </c>
      <c r="B35" s="17"/>
      <c r="C35" s="17"/>
      <c r="D35" s="17"/>
      <c r="E35" s="17"/>
      <c r="F35" s="17"/>
      <c r="G35" s="17"/>
      <c r="H35" s="16"/>
      <c r="I35" s="17"/>
      <c r="J35" s="16"/>
      <c r="K35" s="16"/>
    </row>
    <row r="36" spans="1:11" ht="27.75" customHeight="1" x14ac:dyDescent="0.4">
      <c r="A36" s="52" t="s">
        <v>184</v>
      </c>
      <c r="B36" s="17"/>
      <c r="C36" s="17"/>
      <c r="D36" s="17"/>
      <c r="E36" s="17"/>
      <c r="F36" s="17"/>
      <c r="G36" s="17"/>
      <c r="H36" s="16"/>
      <c r="I36" s="17"/>
      <c r="J36" s="16"/>
      <c r="K36" s="16"/>
    </row>
    <row r="37" spans="1:11" ht="27.75" customHeight="1" x14ac:dyDescent="0.4">
      <c r="A37" s="52" t="s">
        <v>185</v>
      </c>
      <c r="B37" s="17"/>
      <c r="C37" s="17"/>
      <c r="D37" s="17"/>
      <c r="E37" s="17"/>
      <c r="F37" s="17"/>
      <c r="G37" s="17"/>
      <c r="H37" s="16"/>
      <c r="I37" s="17"/>
      <c r="J37" s="16"/>
      <c r="K37" s="16"/>
    </row>
    <row r="38" spans="1:11" ht="40.5" customHeight="1" x14ac:dyDescent="0.4">
      <c r="A38" s="52" t="s">
        <v>186</v>
      </c>
      <c r="B38" s="17"/>
      <c r="C38" s="17"/>
      <c r="D38" s="17"/>
      <c r="E38" s="17"/>
      <c r="F38" s="17"/>
      <c r="G38" s="17"/>
      <c r="H38" s="16"/>
      <c r="I38" s="17"/>
      <c r="J38" s="16"/>
      <c r="K38" s="16"/>
    </row>
    <row r="39" spans="1:11" ht="40.5" customHeight="1" x14ac:dyDescent="0.4">
      <c r="A39" s="52" t="s">
        <v>187</v>
      </c>
      <c r="B39" s="17"/>
      <c r="C39" s="17"/>
      <c r="D39" s="17"/>
      <c r="E39" s="17"/>
      <c r="F39" s="17"/>
      <c r="G39" s="17"/>
      <c r="H39" s="16"/>
      <c r="I39" s="17"/>
      <c r="J39" s="16"/>
      <c r="K39" s="16"/>
    </row>
    <row r="40" spans="1:11" ht="27.75" customHeight="1" x14ac:dyDescent="0.4">
      <c r="A40" s="52" t="s">
        <v>188</v>
      </c>
      <c r="B40" s="17"/>
      <c r="C40" s="17"/>
      <c r="D40" s="17"/>
      <c r="E40" s="17"/>
      <c r="F40" s="17"/>
      <c r="G40" s="17"/>
      <c r="H40" s="16"/>
      <c r="I40" s="17"/>
      <c r="J40" s="16"/>
      <c r="K40" s="16"/>
    </row>
    <row r="41" spans="1:11" ht="27.75" customHeight="1" x14ac:dyDescent="0.4">
      <c r="A41" s="52" t="s">
        <v>189</v>
      </c>
      <c r="B41" s="17"/>
      <c r="C41" s="17"/>
      <c r="D41" s="17"/>
      <c r="E41" s="17"/>
      <c r="F41" s="17"/>
      <c r="G41" s="17"/>
      <c r="H41" s="16"/>
      <c r="I41" s="17"/>
      <c r="J41" s="16"/>
      <c r="K41" s="16"/>
    </row>
    <row r="42" spans="1:11" ht="15" customHeight="1" x14ac:dyDescent="0.4">
      <c r="A42" s="52" t="s">
        <v>190</v>
      </c>
      <c r="B42" s="17"/>
      <c r="C42" s="17"/>
      <c r="D42" s="17"/>
      <c r="E42" s="17"/>
      <c r="F42" s="17"/>
      <c r="G42" s="17"/>
      <c r="H42" s="16"/>
      <c r="I42" s="17"/>
      <c r="J42" s="16"/>
      <c r="K42" s="16"/>
    </row>
    <row r="43" spans="1:11" ht="27.75" customHeight="1" x14ac:dyDescent="0.4">
      <c r="A43" s="52" t="s">
        <v>191</v>
      </c>
      <c r="B43" s="17"/>
      <c r="C43" s="17"/>
      <c r="D43" s="17"/>
      <c r="E43" s="17"/>
      <c r="F43" s="17"/>
      <c r="G43" s="17"/>
      <c r="H43" s="16"/>
      <c r="I43" s="17"/>
      <c r="J43" s="16"/>
      <c r="K43" s="16"/>
    </row>
    <row r="44" spans="1:11" ht="27.75" customHeight="1" x14ac:dyDescent="0.4">
      <c r="A44" s="52" t="s">
        <v>192</v>
      </c>
      <c r="B44" s="17"/>
      <c r="C44" s="17"/>
      <c r="D44" s="17"/>
      <c r="E44" s="17"/>
      <c r="F44" s="17"/>
      <c r="G44" s="17"/>
      <c r="H44" s="16"/>
      <c r="I44" s="17"/>
      <c r="J44" s="16"/>
      <c r="K44" s="16"/>
    </row>
    <row r="45" spans="1:11" ht="27.75" customHeight="1" x14ac:dyDescent="0.4">
      <c r="A45" s="52" t="s">
        <v>193</v>
      </c>
      <c r="B45" s="17"/>
      <c r="C45" s="17"/>
      <c r="D45" s="17"/>
      <c r="E45" s="17"/>
      <c r="F45" s="17"/>
      <c r="G45" s="17"/>
      <c r="H45" s="16"/>
      <c r="I45" s="17"/>
      <c r="J45" s="16"/>
      <c r="K45" s="16"/>
    </row>
    <row r="46" spans="1:11" ht="27.75" customHeight="1" x14ac:dyDescent="0.4">
      <c r="A46" s="52" t="s">
        <v>194</v>
      </c>
      <c r="B46" s="17"/>
      <c r="C46" s="17"/>
      <c r="D46" s="62"/>
      <c r="E46" s="17"/>
      <c r="F46" s="17"/>
      <c r="G46" s="17"/>
      <c r="H46" s="16"/>
      <c r="I46" s="17"/>
      <c r="J46" s="16"/>
      <c r="K46" s="16"/>
    </row>
    <row r="47" spans="1:11" ht="27.75" customHeight="1" x14ac:dyDescent="0.4">
      <c r="A47" s="52" t="s">
        <v>195</v>
      </c>
      <c r="B47" s="17"/>
      <c r="C47" s="17"/>
      <c r="D47" s="62"/>
      <c r="E47" s="17"/>
      <c r="F47" s="17"/>
      <c r="G47" s="17"/>
      <c r="H47" s="16"/>
      <c r="I47" s="17"/>
      <c r="J47" s="16"/>
      <c r="K47" s="16"/>
    </row>
    <row r="48" spans="1:11" ht="27.75" customHeight="1" x14ac:dyDescent="0.4">
      <c r="A48" s="52" t="s">
        <v>196</v>
      </c>
      <c r="B48" s="17"/>
      <c r="C48" s="17"/>
      <c r="D48" s="62"/>
      <c r="E48" s="17"/>
      <c r="F48" s="17"/>
      <c r="G48" s="17"/>
      <c r="H48" s="16"/>
      <c r="I48" s="17"/>
      <c r="J48" s="16"/>
      <c r="K48" s="16"/>
    </row>
    <row r="49" spans="1:11" ht="27.75" customHeight="1" x14ac:dyDescent="0.4">
      <c r="A49" s="52" t="s">
        <v>197</v>
      </c>
      <c r="B49" s="17"/>
      <c r="C49" s="17"/>
      <c r="D49" s="17"/>
      <c r="E49" s="17"/>
      <c r="F49" s="17"/>
      <c r="G49" s="17"/>
      <c r="H49" s="16"/>
      <c r="I49" s="17"/>
      <c r="J49" s="16"/>
      <c r="K49" s="16"/>
    </row>
    <row r="50" spans="1:11" ht="27.75" customHeight="1" x14ac:dyDescent="0.4">
      <c r="A50" s="52" t="s">
        <v>198</v>
      </c>
      <c r="B50" s="17"/>
      <c r="C50" s="17"/>
      <c r="D50" s="62"/>
      <c r="E50" s="17"/>
      <c r="F50" s="17"/>
      <c r="G50" s="17"/>
      <c r="H50" s="16"/>
      <c r="I50" s="17"/>
      <c r="J50" s="16"/>
      <c r="K50" s="16"/>
    </row>
    <row r="51" spans="1:11" ht="27.75" customHeight="1" x14ac:dyDescent="0.4">
      <c r="A51" s="52" t="s">
        <v>199</v>
      </c>
      <c r="B51" s="17"/>
      <c r="C51" s="17"/>
      <c r="D51" s="62"/>
      <c r="E51" s="17"/>
      <c r="F51" s="17"/>
      <c r="G51" s="17"/>
      <c r="H51" s="16"/>
      <c r="I51" s="17"/>
      <c r="J51" s="16"/>
      <c r="K51" s="16"/>
    </row>
    <row r="52" spans="1:11" ht="27.75" customHeight="1" x14ac:dyDescent="0.4">
      <c r="A52" s="52" t="s">
        <v>200</v>
      </c>
      <c r="B52" s="17"/>
      <c r="C52" s="17"/>
      <c r="D52" s="17"/>
      <c r="E52" s="17"/>
      <c r="F52" s="17"/>
      <c r="G52" s="17"/>
      <c r="H52" s="16"/>
      <c r="I52" s="17"/>
      <c r="J52" s="16"/>
      <c r="K52" s="16"/>
    </row>
    <row r="53" spans="1:11" ht="27.75" customHeight="1" x14ac:dyDescent="0.4">
      <c r="A53" s="52" t="s">
        <v>143</v>
      </c>
      <c r="B53" s="17"/>
      <c r="C53" s="17"/>
      <c r="D53" s="17"/>
      <c r="E53" s="17"/>
      <c r="F53" s="17"/>
      <c r="G53" s="17"/>
      <c r="H53" s="16"/>
      <c r="I53" s="17"/>
      <c r="J53" s="16"/>
      <c r="K53" s="16"/>
    </row>
    <row r="54" spans="1:11" ht="15" customHeight="1" x14ac:dyDescent="0.4">
      <c r="A54" s="52" t="s">
        <v>201</v>
      </c>
      <c r="B54" s="17"/>
      <c r="C54" s="17"/>
      <c r="D54" s="17"/>
      <c r="E54" s="17"/>
      <c r="F54" s="17"/>
      <c r="G54" s="17"/>
      <c r="H54" s="16"/>
      <c r="I54" s="17"/>
      <c r="J54" s="16"/>
      <c r="K54" s="16"/>
    </row>
    <row r="55" spans="1:11" ht="27.75" customHeight="1" x14ac:dyDescent="0.4">
      <c r="A55" s="52" t="s">
        <v>202</v>
      </c>
      <c r="B55" s="17"/>
      <c r="C55" s="17"/>
      <c r="D55" s="17"/>
      <c r="E55" s="17"/>
      <c r="F55" s="17"/>
      <c r="G55" s="17"/>
      <c r="H55" s="16"/>
      <c r="I55" s="17"/>
      <c r="J55" s="16"/>
      <c r="K55" s="16"/>
    </row>
    <row r="56" spans="1:11" ht="27.75" customHeight="1" x14ac:dyDescent="0.4">
      <c r="A56" s="52" t="s">
        <v>203</v>
      </c>
      <c r="B56" s="17"/>
      <c r="C56" s="17"/>
      <c r="D56" s="17"/>
      <c r="E56" s="17"/>
      <c r="F56" s="17"/>
      <c r="G56" s="17"/>
      <c r="H56" s="16"/>
      <c r="I56" s="17"/>
      <c r="J56" s="16"/>
      <c r="K56" s="16"/>
    </row>
    <row r="57" spans="1:11" ht="27.75" customHeight="1" x14ac:dyDescent="0.4">
      <c r="A57" s="52" t="s">
        <v>204</v>
      </c>
      <c r="B57" s="17"/>
      <c r="C57" s="17"/>
      <c r="D57" s="17"/>
      <c r="E57" s="17"/>
      <c r="F57" s="17"/>
      <c r="G57" s="17"/>
      <c r="H57" s="16"/>
      <c r="I57" s="17"/>
      <c r="J57" s="16"/>
      <c r="K57" s="16"/>
    </row>
    <row r="58" spans="1:11" ht="27.75" customHeight="1" x14ac:dyDescent="0.4">
      <c r="A58" s="52" t="s">
        <v>205</v>
      </c>
      <c r="B58" s="17"/>
      <c r="C58" s="17"/>
      <c r="D58" s="17"/>
      <c r="E58" s="17"/>
      <c r="F58" s="17"/>
      <c r="G58" s="17"/>
      <c r="H58" s="16"/>
      <c r="I58" s="17"/>
      <c r="J58" s="16"/>
      <c r="K58" s="16"/>
    </row>
    <row r="59" spans="1:11" ht="15" customHeight="1" x14ac:dyDescent="0.4">
      <c r="A59" s="52" t="s">
        <v>206</v>
      </c>
      <c r="B59" s="17"/>
      <c r="C59" s="17"/>
      <c r="D59" s="17"/>
      <c r="E59" s="17"/>
      <c r="F59" s="17"/>
      <c r="G59" s="17"/>
      <c r="H59" s="16"/>
      <c r="I59" s="17"/>
      <c r="J59" s="16"/>
      <c r="K59" s="16"/>
    </row>
    <row r="60" spans="1:11" ht="15" customHeight="1" x14ac:dyDescent="0.4">
      <c r="A60" s="52" t="s">
        <v>207</v>
      </c>
      <c r="B60" s="17"/>
      <c r="C60" s="17"/>
      <c r="D60" s="17"/>
      <c r="E60" s="17"/>
      <c r="F60" s="17"/>
      <c r="G60" s="17"/>
      <c r="H60" s="16"/>
      <c r="I60" s="17"/>
      <c r="J60" s="16"/>
      <c r="K60" s="16"/>
    </row>
    <row r="61" spans="1:11" ht="15" customHeight="1" x14ac:dyDescent="0.4">
      <c r="A61" s="52" t="s">
        <v>208</v>
      </c>
      <c r="B61" s="17"/>
      <c r="C61" s="17"/>
      <c r="D61" s="17"/>
      <c r="E61" s="17"/>
      <c r="F61" s="17"/>
      <c r="G61" s="17"/>
      <c r="H61" s="16"/>
      <c r="I61" s="17"/>
      <c r="J61" s="16"/>
      <c r="K61" s="16"/>
    </row>
    <row r="62" spans="1:11" ht="27.75" customHeight="1" x14ac:dyDescent="0.4">
      <c r="A62" s="52" t="s">
        <v>209</v>
      </c>
      <c r="B62" s="17"/>
      <c r="C62" s="17"/>
      <c r="D62" s="17"/>
      <c r="E62" s="17"/>
      <c r="F62" s="17"/>
      <c r="G62" s="17"/>
      <c r="H62" s="16"/>
      <c r="I62" s="17"/>
      <c r="J62" s="16"/>
      <c r="K62" s="16"/>
    </row>
    <row r="63" spans="1:11" ht="27.75" customHeight="1" x14ac:dyDescent="0.4">
      <c r="A63" s="52" t="s">
        <v>210</v>
      </c>
      <c r="B63" s="17"/>
      <c r="C63" s="17"/>
      <c r="D63" s="17"/>
      <c r="E63" s="17"/>
      <c r="F63" s="17"/>
      <c r="G63" s="17"/>
      <c r="H63" s="16"/>
      <c r="I63" s="17"/>
      <c r="J63" s="16"/>
      <c r="K63" s="16"/>
    </row>
    <row r="64" spans="1:11" ht="15" customHeight="1" x14ac:dyDescent="0.4">
      <c r="A64" s="52" t="s">
        <v>211</v>
      </c>
      <c r="B64" s="17"/>
      <c r="C64" s="17"/>
      <c r="D64" s="17"/>
      <c r="E64" s="17"/>
      <c r="F64" s="17"/>
      <c r="G64" s="17"/>
      <c r="H64" s="16"/>
      <c r="I64" s="17"/>
      <c r="J64" s="16"/>
      <c r="K64" s="16"/>
    </row>
  </sheetData>
  <mergeCells count="1">
    <mergeCell ref="A1:K1"/>
  </mergeCells>
  <phoneticPr fontId="24" type="noConversion"/>
  <conditionalFormatting sqref="A9:G64">
    <cfRule type="expression" dxfId="8" priority="9">
      <formula>$H9="Wycofany"</formula>
    </cfRule>
  </conditionalFormatting>
  <conditionalFormatting sqref="H9:H64">
    <cfRule type="cellIs" dxfId="7" priority="1" operator="equal">
      <formula>"Wycofany"</formula>
    </cfRule>
    <cfRule type="cellIs" dxfId="6" priority="2" operator="equal">
      <formula>"Wycofywany"</formula>
    </cfRule>
    <cfRule type="cellIs" dxfId="5" priority="3" operator="equal">
      <formula>"Nieużywany"</formula>
    </cfRule>
    <cfRule type="cellIs" dxfId="4" priority="4" operator="equal">
      <formula>"Tymczasowy"</formula>
    </cfRule>
    <cfRule type="cellIs" dxfId="3" priority="5" operator="equal">
      <formula>"Do uzupełnienia"</formula>
    </cfRule>
  </conditionalFormatting>
  <conditionalFormatting sqref="J9:J64">
    <cfRule type="cellIs" dxfId="2" priority="6" operator="equal">
      <formula>"Publiczne"</formula>
    </cfRule>
    <cfRule type="cellIs" dxfId="1" priority="7" operator="equal">
      <formula>"Do użytku wewnętrznego"</formula>
    </cfRule>
    <cfRule type="cellIs" dxfId="0" priority="8" operator="equal">
      <formula>"Chronione"</formula>
    </cfRule>
  </conditionalFormatting>
  <dataValidations count="1">
    <dataValidation type="list" sqref="H9:H64" xr:uid="{D13AC399-4EC8-4ECA-9418-3835B23648C4}">
      <formula1>"W eksploatacji,Wycofywany,Wycofany,Nieużywany,Tymczasowy,Do uzupełnienia"</formula1>
      <formula2>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D112-FDBA-48B5-BBDB-23B7615894F5}">
  <dimension ref="A1:E9"/>
  <sheetViews>
    <sheetView workbookViewId="0">
      <selection activeCell="A25" sqref="A25"/>
    </sheetView>
  </sheetViews>
  <sheetFormatPr defaultColWidth="30.53515625" defaultRowHeight="12.9" x14ac:dyDescent="0.35"/>
  <cols>
    <col min="1" max="16384" width="30.53515625" style="35"/>
  </cols>
  <sheetData>
    <row r="1" spans="1:5" x14ac:dyDescent="0.35">
      <c r="A1" s="35" t="s">
        <v>113</v>
      </c>
    </row>
    <row r="3" spans="1:5" x14ac:dyDescent="0.35">
      <c r="A3" s="30" t="s">
        <v>1</v>
      </c>
      <c r="B3" s="31" t="s">
        <v>69</v>
      </c>
      <c r="C3" s="32" t="s">
        <v>70</v>
      </c>
      <c r="D3" s="33" t="s">
        <v>71</v>
      </c>
      <c r="E3" s="34" t="s">
        <v>72</v>
      </c>
    </row>
    <row r="4" spans="1:5" x14ac:dyDescent="0.35">
      <c r="A4" s="36" t="s">
        <v>73</v>
      </c>
      <c r="B4" s="37" t="s">
        <v>74</v>
      </c>
      <c r="C4" s="37" t="s">
        <v>75</v>
      </c>
      <c r="D4" s="37" t="s">
        <v>76</v>
      </c>
      <c r="E4" s="37" t="s">
        <v>77</v>
      </c>
    </row>
    <row r="5" spans="1:5" x14ac:dyDescent="0.35">
      <c r="A5" s="38" t="s">
        <v>78</v>
      </c>
      <c r="B5" s="39" t="s">
        <v>79</v>
      </c>
      <c r="C5" s="39" t="s">
        <v>80</v>
      </c>
      <c r="D5" s="39" t="s">
        <v>81</v>
      </c>
      <c r="E5" s="39" t="s">
        <v>82</v>
      </c>
    </row>
    <row r="6" spans="1:5" x14ac:dyDescent="0.35">
      <c r="A6" s="36" t="s">
        <v>83</v>
      </c>
      <c r="B6" s="37" t="s">
        <v>84</v>
      </c>
      <c r="C6" s="37" t="s">
        <v>85</v>
      </c>
      <c r="D6" s="37" t="s">
        <v>86</v>
      </c>
      <c r="E6" s="37" t="s">
        <v>87</v>
      </c>
    </row>
    <row r="7" spans="1:5" x14ac:dyDescent="0.35">
      <c r="A7" s="38" t="s">
        <v>88</v>
      </c>
      <c r="B7" s="39" t="s">
        <v>89</v>
      </c>
      <c r="C7" s="39" t="s">
        <v>90</v>
      </c>
      <c r="D7" s="39" t="s">
        <v>91</v>
      </c>
      <c r="E7" s="39" t="s">
        <v>92</v>
      </c>
    </row>
    <row r="8" spans="1:5" x14ac:dyDescent="0.35">
      <c r="A8" s="36" t="s">
        <v>68</v>
      </c>
      <c r="B8" s="37" t="s">
        <v>93</v>
      </c>
      <c r="C8" s="37" t="s">
        <v>94</v>
      </c>
      <c r="D8" s="37" t="s">
        <v>95</v>
      </c>
      <c r="E8" s="37" t="s">
        <v>96</v>
      </c>
    </row>
    <row r="9" spans="1:5" x14ac:dyDescent="0.35">
      <c r="A9" s="38" t="s">
        <v>97</v>
      </c>
      <c r="B9" s="39" t="s">
        <v>98</v>
      </c>
      <c r="C9" s="39" t="s">
        <v>99</v>
      </c>
      <c r="D9" s="39" t="s">
        <v>100</v>
      </c>
      <c r="E9" s="3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Interesariusze </vt:lpstr>
      <vt:lpstr>PESTLE</vt:lpstr>
      <vt:lpstr>Prawo </vt:lpstr>
      <vt:lpstr>Procesy </vt:lpstr>
      <vt:lpstr>Ocena wpływu BCMS </vt:lpstr>
      <vt:lpstr>Aktywa </vt:lpstr>
      <vt:lpstr>Zasoby </vt:lpstr>
      <vt:lpstr>Słowniki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Mariusz Skrzypek</dc:creator>
  <cp:lastModifiedBy>Mariusz Skrzypek</cp:lastModifiedBy>
  <dcterms:created xsi:type="dcterms:W3CDTF">2026-10-13T07:33:32Z</dcterms:created>
  <dcterms:modified xsi:type="dcterms:W3CDTF">2026-10-17T06:50:53Z</dcterms:modified>
</cp:coreProperties>
</file>